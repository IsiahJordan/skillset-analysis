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slicers/slicer1.xml" ContentType="application/vnd.ms-excel.slicer+xml"/>
  <Override PartName="/xl/drawings/drawing3.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4.xml" ContentType="application/vnd.openxmlformats-officedocument.drawing+xml"/>
  <Override PartName="/xl/drawings/drawing5.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C:\Users\WindowBaseCoding\OneDrive\Documents\"/>
    </mc:Choice>
  </mc:AlternateContent>
  <xr:revisionPtr revIDLastSave="0" documentId="13_ncr:1_{6971D242-7DD6-4CF7-8582-FFEE3250C80C}" xr6:coauthVersionLast="47" xr6:coauthVersionMax="47" xr10:uidLastSave="{00000000-0000-0000-0000-000000000000}"/>
  <bookViews>
    <workbookView xWindow="-108" yWindow="-108" windowWidth="23256" windowHeight="12576" firstSheet="4" activeTab="7" xr2:uid="{2266C985-EB3F-483F-A0EF-6FE1EA34655B}"/>
  </bookViews>
  <sheets>
    <sheet name="0.A Table of Contents" sheetId="1" r:id="rId1"/>
    <sheet name="1.A Legend" sheetId="2" r:id="rId2"/>
    <sheet name="2.A Abstract List" sheetId="3" r:id="rId3"/>
    <sheet name="2.B OOP Skillset List" sheetId="24" r:id="rId4"/>
    <sheet name="1.B Graph Legend" sheetId="27" r:id="rId5"/>
    <sheet name="3.A OOP DAG concepts" sheetId="26" r:id="rId6"/>
    <sheet name="4.A OOP Backlog" sheetId="28" r:id="rId7"/>
    <sheet name="2.C Leetcode Problem List" sheetId="29" r:id="rId8"/>
    <sheet name="3.B Leetcode DAG Problems" sheetId="30" r:id="rId9"/>
  </sheets>
  <functionGroups builtInGroupCount="19"/>
  <definedNames>
    <definedName name="_xlnm._FilterDatabase" localSheetId="2" hidden="1">'2.A Abstract List'!$A$3:$E$39</definedName>
    <definedName name="Slicer_Priority">#N/A</definedName>
    <definedName name="Slicer_Status">#N/A</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0"/>
        <x14:slicerCache r:id="rId11"/>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1" i="3" l="1"/>
  <c r="C18" i="24"/>
  <c r="B18" i="24"/>
  <c r="B17" i="24"/>
  <c r="O19" i="24"/>
  <c r="B16" i="24"/>
  <c r="I14" i="26"/>
  <c r="G14" i="26"/>
  <c r="G8" i="26"/>
  <c r="O18" i="24"/>
  <c r="V4" i="24"/>
  <c r="V5" i="24"/>
  <c r="V6" i="24"/>
  <c r="V7" i="24"/>
  <c r="V8" i="24"/>
  <c r="V9" i="24"/>
  <c r="V10" i="24"/>
  <c r="V11" i="24"/>
  <c r="V12" i="24"/>
  <c r="V13" i="24"/>
  <c r="V14" i="24"/>
  <c r="V15" i="24"/>
  <c r="V16" i="24"/>
  <c r="V17" i="24"/>
  <c r="V18" i="24"/>
  <c r="V19" i="24"/>
  <c r="V20" i="24"/>
  <c r="V21" i="24"/>
  <c r="V22" i="24"/>
  <c r="V23" i="24"/>
  <c r="V24" i="24"/>
  <c r="V25" i="24"/>
  <c r="V26" i="24"/>
  <c r="V27" i="24"/>
  <c r="O4" i="24"/>
  <c r="O5" i="24"/>
  <c r="O6" i="24"/>
  <c r="O7" i="24"/>
  <c r="O8" i="24"/>
  <c r="O9" i="24"/>
  <c r="O10" i="24"/>
  <c r="O11" i="24"/>
  <c r="O12" i="24"/>
  <c r="O13" i="24"/>
  <c r="O14" i="24"/>
  <c r="O15" i="24"/>
  <c r="O16" i="24"/>
  <c r="O17" i="24"/>
  <c r="C16" i="24" l="1"/>
  <c r="C17" i="24"/>
</calcChain>
</file>

<file path=xl/sharedStrings.xml><?xml version="1.0" encoding="utf-8"?>
<sst xmlns="http://schemas.openxmlformats.org/spreadsheetml/2006/main" count="475" uniqueCount="234">
  <si>
    <t xml:space="preserve"> </t>
  </si>
  <si>
    <t>Purpose</t>
  </si>
  <si>
    <t>legend for all convention in this workbook</t>
  </si>
  <si>
    <t>priority list in groups of skillsets that needs focus</t>
  </si>
  <si>
    <t>Type</t>
  </si>
  <si>
    <t>Goto Button</t>
  </si>
  <si>
    <t>list sheet (purple)</t>
  </si>
  <si>
    <t>information sheet (green)</t>
  </si>
  <si>
    <t>Prirority Legend</t>
  </si>
  <si>
    <t>Priority</t>
  </si>
  <si>
    <t>Meaning</t>
  </si>
  <si>
    <t>Scheme</t>
  </si>
  <si>
    <t>extreme</t>
  </si>
  <si>
    <t>high</t>
  </si>
  <si>
    <t>advance</t>
  </si>
  <si>
    <t>medium</t>
  </si>
  <si>
    <t>low</t>
  </si>
  <si>
    <t>insane</t>
  </si>
  <si>
    <t>Extra</t>
  </si>
  <si>
    <t>must be achieved before deadline</t>
  </si>
  <si>
    <t>must be achieved 70% away deadline</t>
  </si>
  <si>
    <t>must be progress and isn't require to finish</t>
  </si>
  <si>
    <t>mostly important topics no need for huge and numerous application</t>
  </si>
  <si>
    <t>at least start during the year</t>
  </si>
  <si>
    <t>previous, should have finished goal</t>
  </si>
  <si>
    <t>Skillset Legend</t>
  </si>
  <si>
    <t>Timeline Legend</t>
  </si>
  <si>
    <t>Status</t>
  </si>
  <si>
    <t>week-a</t>
  </si>
  <si>
    <t>ready to be push to backlog for every new week</t>
  </si>
  <si>
    <t>day-a</t>
  </si>
  <si>
    <t>ready to be push after the backlog finished</t>
  </si>
  <si>
    <t>month-a</t>
  </si>
  <si>
    <t>this is priority after the next month</t>
  </si>
  <si>
    <t>stationary</t>
  </si>
  <si>
    <t>push only after no backlog entries</t>
  </si>
  <si>
    <t>Task ID</t>
  </si>
  <si>
    <t>Task Name</t>
  </si>
  <si>
    <t>Progress</t>
  </si>
  <si>
    <t>if the task is given in relation to the topic in hand, the learner should be able to conduct the task faster than the expected time follow with repetition and if the topic is theoretical rather than applicable, solve the amount multiple times until overcoming expected time while also reaching the goal time for improvements.</t>
  </si>
  <si>
    <t>mastery in teaching majority listed while also used everything on the list in some way, numerous times like projects or scored in a test which has also proven speed on conducting the task quickly.</t>
  </si>
  <si>
    <t>mastery of everything listed, created a test and perfected both test creation (no more additional cases besides interpretation of the same ideas) and score, proven with project and metrics.</t>
  </si>
  <si>
    <t>Status Legend</t>
  </si>
  <si>
    <t>in progress</t>
  </si>
  <si>
    <t>idle</t>
  </si>
  <si>
    <t>station</t>
  </si>
  <si>
    <t>moved</t>
  </si>
  <si>
    <t>finish</t>
  </si>
  <si>
    <t>SQL</t>
  </si>
  <si>
    <t xml:space="preserve">station </t>
  </si>
  <si>
    <t>mastery</t>
  </si>
  <si>
    <t>intermediate</t>
  </si>
  <si>
    <t>amatuer</t>
  </si>
  <si>
    <t>the task might be important in some future but partial knowledge is only require to be benificial to current goals and other skillsets thus practice through repetition over project based learning</t>
  </si>
  <si>
    <t>PostgresSQL</t>
  </si>
  <si>
    <t>Theoretical NoSQL</t>
  </si>
  <si>
    <t>Theoretical UI/UX</t>
  </si>
  <si>
    <t>Javascript</t>
  </si>
  <si>
    <t>UML</t>
  </si>
  <si>
    <t>Python</t>
  </si>
  <si>
    <t>OOP</t>
  </si>
  <si>
    <t>Practical C/C++</t>
  </si>
  <si>
    <t>Theoretical and Practical NASM</t>
  </si>
  <si>
    <t>Practical Linux and Windows</t>
  </si>
  <si>
    <t>Computer Organization and Architecture</t>
  </si>
  <si>
    <t>Web-Based 1 Week Challenge</t>
  </si>
  <si>
    <t>Application Dev</t>
  </si>
  <si>
    <t>System Design</t>
  </si>
  <si>
    <t>Docker and Kubernetes</t>
  </si>
  <si>
    <t>Human Computer Interaction</t>
  </si>
  <si>
    <t>Quality Assurance</t>
  </si>
  <si>
    <t>Design Patterns</t>
  </si>
  <si>
    <t>Codeforce</t>
  </si>
  <si>
    <t>Web Development</t>
  </si>
  <si>
    <t>Leetcode</t>
  </si>
  <si>
    <t>Hackerank Certificates</t>
  </si>
  <si>
    <t>Penetration Testing</t>
  </si>
  <si>
    <t>Domain Knowledege</t>
  </si>
  <si>
    <t>Communication/Presentor Skills</t>
  </si>
  <si>
    <t>Finish OpenGL</t>
  </si>
  <si>
    <t>GIMP Photoshop</t>
  </si>
  <si>
    <t>Hackathon Event</t>
  </si>
  <si>
    <t>AWS, Azure, and/or Gcloud</t>
  </si>
  <si>
    <t>Machine Learning</t>
  </si>
  <si>
    <t>Advance LLMS</t>
  </si>
  <si>
    <t>AMC Research</t>
  </si>
  <si>
    <t>Create Worksheet</t>
  </si>
  <si>
    <t>name</t>
  </si>
  <si>
    <t>input</t>
  </si>
  <si>
    <t>label</t>
  </si>
  <si>
    <t>type</t>
  </si>
  <si>
    <t>purpose</t>
  </si>
  <si>
    <t>Table of Contents</t>
  </si>
  <si>
    <t>Abstract List</t>
  </si>
  <si>
    <t>all skillsets needed to achieve the require skill level for OOP</t>
  </si>
  <si>
    <t>Skill ID</t>
  </si>
  <si>
    <t>Conceptual Skillset List</t>
  </si>
  <si>
    <t>Is Ready</t>
  </si>
  <si>
    <t>Estimation</t>
  </si>
  <si>
    <t>F</t>
  </si>
  <si>
    <t>history of computer paradigms</t>
  </si>
  <si>
    <t>1 day</t>
  </si>
  <si>
    <t>T</t>
  </si>
  <si>
    <t>in-progress</t>
  </si>
  <si>
    <t>pros and cons with OOP vs other paradigms</t>
  </si>
  <si>
    <t>OOP features (ideas)</t>
  </si>
  <si>
    <t>history of OOP concepts</t>
  </si>
  <si>
    <t>foundational techniques that made OOP possible</t>
  </si>
  <si>
    <t>4 days</t>
  </si>
  <si>
    <t>2 days</t>
  </si>
  <si>
    <t>implementation of foundational techniques in C</t>
  </si>
  <si>
    <t>5 days</t>
  </si>
  <si>
    <t>max, relative</t>
  </si>
  <si>
    <t>different types of model implementation to languages</t>
  </si>
  <si>
    <t>situational scenarios with or without OOP</t>
  </si>
  <si>
    <t>implementation of foundational techniques in NASM</t>
  </si>
  <si>
    <t>1 week</t>
  </si>
  <si>
    <t>list of design patterns for OOP and anti-patterns</t>
  </si>
  <si>
    <t>origins of each patterns</t>
  </si>
  <si>
    <t>modern OOP usage</t>
  </si>
  <si>
    <t>modern design pattern OOP</t>
  </si>
  <si>
    <t>Practical Skillset List</t>
  </si>
  <si>
    <t>factory method in C#</t>
  </si>
  <si>
    <t>abstract factory in C#</t>
  </si>
  <si>
    <t>distrubed system and OOP</t>
  </si>
  <si>
    <t>2 weeks</t>
  </si>
  <si>
    <t>builder in C#</t>
  </si>
  <si>
    <t>prototype in C#</t>
  </si>
  <si>
    <t>singleton in C#</t>
  </si>
  <si>
    <t>adapter in C#</t>
  </si>
  <si>
    <t>bridge in C#</t>
  </si>
  <si>
    <t>composite in C#</t>
  </si>
  <si>
    <t>decorator in C#</t>
  </si>
  <si>
    <t>proxy in c#</t>
  </si>
  <si>
    <t>flyweight in c#</t>
  </si>
  <si>
    <t xml:space="preserve">facade in c# </t>
  </si>
  <si>
    <t>chain of responsibility in c#</t>
  </si>
  <si>
    <t>command in C#</t>
  </si>
  <si>
    <t>iterator in C#</t>
  </si>
  <si>
    <t>mediator in C#</t>
  </si>
  <si>
    <t>memento in C#</t>
  </si>
  <si>
    <t>observer in C#</t>
  </si>
  <si>
    <t>state in C#</t>
  </si>
  <si>
    <t>strategy in C#</t>
  </si>
  <si>
    <t>template method in C#</t>
  </si>
  <si>
    <t>visitor in C#</t>
  </si>
  <si>
    <t>implement each in at least 5 projects</t>
  </si>
  <si>
    <t>3 months</t>
  </si>
  <si>
    <t>implement all design patterns in a non-OOP langauge</t>
  </si>
  <si>
    <t>22 days</t>
  </si>
  <si>
    <t>interconnection of abstract and precise skillsets</t>
  </si>
  <si>
    <t>graph sheet (blue)</t>
  </si>
  <si>
    <t>Graph Legend</t>
  </si>
  <si>
    <t>shapes, graph, and line connection reusable here</t>
  </si>
  <si>
    <t>backlog (orange)</t>
  </si>
  <si>
    <t>Conceptual Reference</t>
  </si>
  <si>
    <t>Concept ID</t>
  </si>
  <si>
    <t>Concept Name</t>
  </si>
  <si>
    <t>Imperative</t>
  </si>
  <si>
    <t>Procedural</t>
  </si>
  <si>
    <t>Object-Oriented</t>
  </si>
  <si>
    <t>Class-Based</t>
  </si>
  <si>
    <t>Prototype-Based</t>
  </si>
  <si>
    <t>Declerative</t>
  </si>
  <si>
    <t>Functional</t>
  </si>
  <si>
    <t>Logic</t>
  </si>
  <si>
    <t>Reactive</t>
  </si>
  <si>
    <t>Concurrent Programming</t>
  </si>
  <si>
    <t>Actor Programming</t>
  </si>
  <si>
    <t>Constraint Programming</t>
  </si>
  <si>
    <t>Dataflow Programming</t>
  </si>
  <si>
    <t>Distributed Programming</t>
  </si>
  <si>
    <t>Generic Programming</t>
  </si>
  <si>
    <t>Metaprogramming</t>
  </si>
  <si>
    <t>Template Programming</t>
  </si>
  <si>
    <t>Reflective Programming</t>
  </si>
  <si>
    <t>Pipeline Programming</t>
  </si>
  <si>
    <t>Rule-Based Programming</t>
  </si>
  <si>
    <t>Visual Programing</t>
  </si>
  <si>
    <t>this is a product backlog for OOP concepts</t>
  </si>
  <si>
    <t>Objects</t>
  </si>
  <si>
    <t>Process-Oriented Programming</t>
  </si>
  <si>
    <t>Functional Programming</t>
  </si>
  <si>
    <t>Structured Programming</t>
  </si>
  <si>
    <t>Execution Model</t>
  </si>
  <si>
    <t>Parallel Computing</t>
  </si>
  <si>
    <t>Shared Memory</t>
  </si>
  <si>
    <t>Distributed Memory</t>
  </si>
  <si>
    <t>Message Passing</t>
  </si>
  <si>
    <t>Machine Code</t>
  </si>
  <si>
    <t>Mnemonics</t>
  </si>
  <si>
    <t>Memory Address</t>
  </si>
  <si>
    <t>Second Generation</t>
  </si>
  <si>
    <t>Third Generation</t>
  </si>
  <si>
    <t>High Level Language</t>
  </si>
  <si>
    <t>Encapsulation</t>
  </si>
  <si>
    <t>Methods</t>
  </si>
  <si>
    <t>Polymorphism</t>
  </si>
  <si>
    <t>Fourth generation</t>
  </si>
  <si>
    <t>Inference Rule</t>
  </si>
  <si>
    <t>Automated Reasoning</t>
  </si>
  <si>
    <t>Problem Domain</t>
  </si>
  <si>
    <t>Symbolic Programming</t>
  </si>
  <si>
    <t>Differenetial Programming</t>
  </si>
  <si>
    <t>Literate Programming</t>
  </si>
  <si>
    <t>Hypertext Essay</t>
  </si>
  <si>
    <t>Backlog (1 Week)</t>
  </si>
  <si>
    <t>ONGOING</t>
  </si>
  <si>
    <t>chain of responsibility</t>
  </si>
  <si>
    <t>IDLE</t>
  </si>
  <si>
    <t>Notes</t>
  </si>
  <si>
    <t>https://docs.google.com/document/d/11YKcI53eTMoMIMZKkkCJ4XqweCB8YFf3QsrkvDsZMq8/edit?tab=t.0</t>
  </si>
  <si>
    <t xml:space="preserve">refactoring </t>
  </si>
  <si>
    <t>Programming Paradigm</t>
  </si>
  <si>
    <t>Create Node</t>
  </si>
  <si>
    <t>ID</t>
  </si>
  <si>
    <t>Name</t>
  </si>
  <si>
    <t>Connect Node</t>
  </si>
  <si>
    <t>To ID</t>
  </si>
  <si>
    <t>To Name</t>
  </si>
  <si>
    <t>x</t>
  </si>
  <si>
    <t>ReactJS</t>
  </si>
  <si>
    <t>NodeJS</t>
  </si>
  <si>
    <t>Backend with NodeJS</t>
  </si>
  <si>
    <t>Descriptive Data</t>
  </si>
  <si>
    <t xml:space="preserve">List </t>
  </si>
  <si>
    <t>Count</t>
  </si>
  <si>
    <t>connect design patterns</t>
  </si>
  <si>
    <t>3 days</t>
  </si>
  <si>
    <t>Total</t>
  </si>
  <si>
    <t>graph sheet</t>
  </si>
  <si>
    <t>graph related problems and there relation</t>
  </si>
  <si>
    <t>to achieve the 1000 problem milestone in leetcode</t>
  </si>
  <si>
    <t>Leetcode Backlog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</si>
</sst>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Light"/>
      <family val="2"/>
      <scheme val="minor"/>
    </font>
    <font>
      <u/>
      <sz val="11"/>
      <color theme="10"/>
      <name val="Calibri Light"/>
      <family val="2"/>
      <scheme val="minor"/>
    </font>
    <font>
      <sz val="14"/>
      <color theme="1"/>
      <name val="Calibri Light"/>
      <family val="2"/>
      <scheme val="minor"/>
    </font>
    <font>
      <sz val="11"/>
      <color theme="0"/>
      <name val="Calibri Light"/>
      <family val="2"/>
      <scheme val="minor"/>
    </font>
    <font>
      <sz val="11"/>
      <color rgb="FFFF0000"/>
      <name val="Calibri Light"/>
      <family val="2"/>
      <scheme val="minor"/>
    </font>
    <font>
      <sz val="16"/>
      <color theme="1"/>
      <name val="Calibri Light"/>
      <family val="2"/>
      <scheme val="minor"/>
    </font>
    <font>
      <b/>
      <sz val="16"/>
      <color theme="1"/>
      <name val="Calibri Light"/>
      <family val="2"/>
    </font>
    <font>
      <b/>
      <sz val="16"/>
      <color theme="1"/>
      <name val="Calibri Light"/>
      <family val="2"/>
      <scheme val="minor"/>
    </font>
    <font>
      <sz val="8"/>
      <name val="Calibri Light"/>
      <family val="2"/>
      <scheme val="minor"/>
    </font>
    <font>
      <sz val="11"/>
      <color rgb="FF000000"/>
      <name val="Calibri Light"/>
      <family val="2"/>
    </font>
    <font>
      <sz val="11"/>
      <name val="Calibri Light"/>
      <family val="2"/>
      <scheme val="minor"/>
    </font>
    <font>
      <b/>
      <sz val="11"/>
      <color theme="1"/>
      <name val="Calibri Light"/>
      <family val="2"/>
      <scheme val="minor"/>
    </font>
  </fonts>
  <fills count="12">
    <fill>
      <patternFill patternType="none"/>
    </fill>
    <fill>
      <patternFill patternType="gray125"/>
    </fill>
    <fill>
      <patternFill patternType="solid">
        <fgColor theme="2"/>
        <bgColor indexed="64"/>
      </patternFill>
    </fill>
    <fill>
      <patternFill patternType="solid">
        <fgColor theme="0"/>
        <bgColor indexed="64"/>
      </patternFill>
    </fill>
    <fill>
      <patternFill patternType="solid">
        <fgColor rgb="FFFFC000"/>
        <bgColor indexed="64"/>
      </patternFill>
    </fill>
    <fill>
      <patternFill patternType="solid">
        <fgColor theme="4" tint="0.79998168889431442"/>
        <bgColor theme="4" tint="0.79998168889431442"/>
      </patternFill>
    </fill>
    <fill>
      <patternFill patternType="solid">
        <fgColor theme="4" tint="0.79998168889431442"/>
        <bgColor indexed="64"/>
      </patternFill>
    </fill>
    <fill>
      <patternFill patternType="solid">
        <fgColor theme="0"/>
        <bgColor theme="4" tint="0.79998168889431442"/>
      </patternFill>
    </fill>
    <fill>
      <patternFill patternType="solid">
        <fgColor rgb="FFC00000"/>
        <bgColor indexed="64"/>
      </patternFill>
    </fill>
    <fill>
      <patternFill patternType="solid">
        <fgColor theme="9" tint="0.59999389629810485"/>
        <bgColor indexed="64"/>
      </patternFill>
    </fill>
    <fill>
      <patternFill patternType="solid">
        <fgColor rgb="FFEAF0E0"/>
        <bgColor indexed="64"/>
      </patternFill>
    </fill>
    <fill>
      <patternFill patternType="solid">
        <fgColor theme="0" tint="-4.9989318521683403E-2"/>
        <bgColor indexed="64"/>
      </patternFill>
    </fill>
  </fills>
  <borders count="14">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bottom style="thin">
        <color auto="1"/>
      </bottom>
      <diagonal/>
    </border>
    <border>
      <left/>
      <right style="thin">
        <color theme="4" tint="0.39997558519241921"/>
      </right>
      <top style="thin">
        <color theme="4" tint="0.39997558519241921"/>
      </top>
      <bottom style="thin">
        <color theme="4" tint="0.39997558519241921"/>
      </bottom>
      <diagonal/>
    </border>
    <border>
      <left style="thin">
        <color auto="1"/>
      </left>
      <right style="thin">
        <color auto="1"/>
      </right>
      <top style="thin">
        <color auto="1"/>
      </top>
      <bottom style="thin">
        <color auto="1"/>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theme="4" tint="0.39997558519241921"/>
      </right>
      <top style="thin">
        <color theme="4" tint="0.39997558519241921"/>
      </top>
      <bottom/>
      <diagonal/>
    </border>
  </borders>
  <cellStyleXfs count="2">
    <xf numFmtId="0" fontId="0" fillId="0" borderId="0"/>
    <xf numFmtId="0" fontId="1" fillId="0" borderId="0" applyNumberFormat="0" applyFill="0" applyBorder="0" applyAlignment="0" applyProtection="0"/>
  </cellStyleXfs>
  <cellXfs count="61">
    <xf numFmtId="0" fontId="0" fillId="0" borderId="0" xfId="0"/>
    <xf numFmtId="0" fontId="0" fillId="2" borderId="0" xfId="0" applyFill="1"/>
    <xf numFmtId="0" fontId="2" fillId="2" borderId="0" xfId="0" applyFont="1" applyFill="1"/>
    <xf numFmtId="0" fontId="3" fillId="2" borderId="0" xfId="0" applyFont="1" applyFill="1"/>
    <xf numFmtId="0" fontId="0" fillId="2" borderId="1" xfId="0" applyFill="1" applyBorder="1"/>
    <xf numFmtId="0" fontId="0" fillId="2" borderId="2" xfId="0" applyFill="1" applyBorder="1"/>
    <xf numFmtId="0" fontId="0" fillId="2" borderId="3" xfId="0" applyFill="1" applyBorder="1"/>
    <xf numFmtId="0" fontId="0" fillId="2" borderId="0" xfId="0" applyFill="1" applyAlignment="1">
      <alignment wrapText="1"/>
    </xf>
    <xf numFmtId="0" fontId="0" fillId="2" borderId="2" xfId="0" applyFill="1" applyBorder="1" applyAlignment="1">
      <alignment wrapText="1"/>
    </xf>
    <xf numFmtId="0" fontId="4" fillId="2" borderId="4" xfId="0" applyFont="1" applyFill="1" applyBorder="1"/>
    <xf numFmtId="0" fontId="0" fillId="3" borderId="0" xfId="0" applyFill="1"/>
    <xf numFmtId="0" fontId="1" fillId="3" borderId="0" xfId="1" quotePrefix="1" applyFill="1"/>
    <xf numFmtId="0" fontId="0" fillId="4" borderId="0" xfId="0" applyFill="1"/>
    <xf numFmtId="0" fontId="2" fillId="3" borderId="0" xfId="0" applyFont="1" applyFill="1"/>
    <xf numFmtId="0" fontId="0" fillId="3" borderId="6" xfId="0" applyFill="1" applyBorder="1"/>
    <xf numFmtId="0" fontId="0" fillId="0" borderId="9" xfId="0" applyBorder="1"/>
    <xf numFmtId="0" fontId="0" fillId="6" borderId="10" xfId="0" applyFill="1" applyBorder="1"/>
    <xf numFmtId="0" fontId="0" fillId="3" borderId="11" xfId="0" applyFill="1" applyBorder="1"/>
    <xf numFmtId="0" fontId="0" fillId="6" borderId="12" xfId="0" applyFill="1" applyBorder="1"/>
    <xf numFmtId="0" fontId="0" fillId="3" borderId="7" xfId="0" applyFill="1" applyBorder="1"/>
    <xf numFmtId="0" fontId="0" fillId="6" borderId="8" xfId="0" applyFill="1" applyBorder="1"/>
    <xf numFmtId="0" fontId="5" fillId="3" borderId="0" xfId="0" applyFont="1" applyFill="1"/>
    <xf numFmtId="0" fontId="0" fillId="3" borderId="1" xfId="0" applyFill="1" applyBorder="1"/>
    <xf numFmtId="0" fontId="6" fillId="4" borderId="0" xfId="0" applyFont="1" applyFill="1"/>
    <xf numFmtId="0" fontId="7" fillId="3" borderId="0" xfId="0" applyFont="1" applyFill="1"/>
    <xf numFmtId="0" fontId="0" fillId="3" borderId="0" xfId="0" applyFill="1" applyAlignment="1">
      <alignment horizontal="right"/>
    </xf>
    <xf numFmtId="0" fontId="0" fillId="7" borderId="0" xfId="0" applyFill="1" applyAlignment="1">
      <alignment horizontal="center"/>
    </xf>
    <xf numFmtId="0" fontId="0" fillId="8" borderId="0" xfId="0" applyFill="1" applyAlignment="1">
      <alignment horizontal="center"/>
    </xf>
    <xf numFmtId="0" fontId="0" fillId="3" borderId="0" xfId="0" applyFill="1" applyAlignment="1">
      <alignment horizontal="right" vertical="center"/>
    </xf>
    <xf numFmtId="0" fontId="3" fillId="3" borderId="0" xfId="0" applyFont="1" applyFill="1" applyAlignment="1">
      <alignment horizontal="center" vertical="center"/>
    </xf>
    <xf numFmtId="0" fontId="0" fillId="3" borderId="0" xfId="0" applyFill="1" applyAlignment="1">
      <alignment horizontal="right" vertical="center" wrapText="1"/>
    </xf>
    <xf numFmtId="0" fontId="0" fillId="3" borderId="0" xfId="0" applyFill="1" applyAlignment="1">
      <alignment vertical="center"/>
    </xf>
    <xf numFmtId="0" fontId="0" fillId="7" borderId="0" xfId="0" applyFill="1" applyAlignment="1">
      <alignment horizontal="center" vertical="center"/>
    </xf>
    <xf numFmtId="0" fontId="0" fillId="9" borderId="0" xfId="0" applyFill="1"/>
    <xf numFmtId="0" fontId="0" fillId="10" borderId="0" xfId="0" applyFill="1"/>
    <xf numFmtId="0" fontId="7" fillId="10" borderId="0" xfId="0" applyFont="1" applyFill="1"/>
    <xf numFmtId="0" fontId="7" fillId="11" borderId="0" xfId="0" applyFont="1" applyFill="1"/>
    <xf numFmtId="0" fontId="0" fillId="11" borderId="0" xfId="0" applyFill="1"/>
    <xf numFmtId="2" fontId="3" fillId="5" borderId="5" xfId="0" applyNumberFormat="1" applyFont="1" applyFill="1" applyBorder="1" applyAlignment="1">
      <alignment vertical="center"/>
    </xf>
    <xf numFmtId="2" fontId="3" fillId="5" borderId="0" xfId="0" applyNumberFormat="1" applyFont="1" applyFill="1" applyAlignment="1">
      <alignment horizontal="right" vertical="center"/>
    </xf>
    <xf numFmtId="2" fontId="3" fillId="0" borderId="0" xfId="0" applyNumberFormat="1" applyFont="1"/>
    <xf numFmtId="2" fontId="3" fillId="5" borderId="5" xfId="0" applyNumberFormat="1" applyFont="1" applyFill="1" applyBorder="1" applyAlignment="1">
      <alignment horizontal="right" vertical="center"/>
    </xf>
    <xf numFmtId="2" fontId="3" fillId="5" borderId="13" xfId="0" applyNumberFormat="1" applyFont="1" applyFill="1" applyBorder="1" applyAlignment="1">
      <alignment vertical="center"/>
    </xf>
    <xf numFmtId="2" fontId="10" fillId="5" borderId="5" xfId="0" applyNumberFormat="1" applyFont="1" applyFill="1" applyBorder="1" applyAlignment="1">
      <alignment vertical="center"/>
    </xf>
    <xf numFmtId="2" fontId="10" fillId="5" borderId="5" xfId="0" applyNumberFormat="1" applyFont="1" applyFill="1" applyBorder="1" applyAlignment="1">
      <alignment horizontal="right" vertical="center"/>
    </xf>
    <xf numFmtId="0" fontId="7" fillId="9" borderId="0" xfId="0" applyFont="1" applyFill="1"/>
    <xf numFmtId="0" fontId="0" fillId="9" borderId="1" xfId="0" applyFill="1" applyBorder="1"/>
    <xf numFmtId="0" fontId="0" fillId="9" borderId="3" xfId="0" applyFill="1" applyBorder="1"/>
    <xf numFmtId="0" fontId="0" fillId="9" borderId="6" xfId="0" applyFill="1" applyBorder="1"/>
    <xf numFmtId="0" fontId="0" fillId="9" borderId="2" xfId="0" applyFill="1" applyBorder="1"/>
    <xf numFmtId="0" fontId="0" fillId="9" borderId="3" xfId="0" applyFill="1" applyBorder="1" applyAlignment="1">
      <alignment wrapText="1"/>
    </xf>
    <xf numFmtId="0" fontId="0" fillId="9" borderId="6" xfId="0" applyFill="1" applyBorder="1" applyAlignment="1">
      <alignment wrapText="1"/>
    </xf>
    <xf numFmtId="2" fontId="3" fillId="5" borderId="13" xfId="0" applyNumberFormat="1" applyFont="1" applyFill="1" applyBorder="1" applyAlignment="1">
      <alignment horizontal="right" vertical="center"/>
    </xf>
    <xf numFmtId="0" fontId="11" fillId="3" borderId="0" xfId="0" applyFont="1" applyFill="1"/>
    <xf numFmtId="0" fontId="0" fillId="3" borderId="0" xfId="0" applyFont="1" applyFill="1"/>
    <xf numFmtId="0" fontId="0" fillId="3" borderId="0" xfId="0" applyFill="1" applyBorder="1" applyAlignment="1">
      <alignment vertical="center"/>
    </xf>
    <xf numFmtId="0" fontId="0" fillId="3" borderId="0" xfId="0" applyFill="1" applyBorder="1" applyAlignment="1">
      <alignment horizontal="right" vertical="center"/>
    </xf>
    <xf numFmtId="0" fontId="3" fillId="3" borderId="0" xfId="0" applyFont="1" applyFill="1" applyBorder="1" applyAlignment="1">
      <alignment horizontal="center" vertical="center"/>
    </xf>
    <xf numFmtId="0" fontId="0" fillId="7" borderId="0" xfId="0" applyFont="1" applyFill="1" applyBorder="1" applyAlignment="1">
      <alignment horizontal="center"/>
    </xf>
    <xf numFmtId="0" fontId="0" fillId="3" borderId="0" xfId="0" applyFill="1" applyBorder="1" applyAlignment="1">
      <alignment horizontal="right"/>
    </xf>
    <xf numFmtId="2" fontId="0" fillId="3" borderId="0" xfId="0" applyNumberFormat="1" applyFill="1"/>
  </cellXfs>
  <cellStyles count="2">
    <cellStyle name="Hyperlink" xfId="1" builtinId="8"/>
    <cellStyle name="Normal" xfId="0" builtinId="0"/>
  </cellStyles>
  <dxfs count="85">
    <dxf>
      <numFmt numFmtId="2" formatCode="0.00"/>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bgColor rgb="FFFF0000"/>
        </patternFill>
      </fill>
    </dxf>
    <dxf>
      <fill>
        <patternFill>
          <bgColor rgb="FFFF9933"/>
        </patternFill>
      </fill>
    </dxf>
    <dxf>
      <fill>
        <patternFill>
          <bgColor rgb="FFFFFF00"/>
        </patternFill>
      </fill>
    </dxf>
    <dxf>
      <fill>
        <patternFill>
          <bgColor rgb="FFCCFF66"/>
        </patternFill>
      </fill>
    </dxf>
    <dxf>
      <fill>
        <patternFill>
          <bgColor theme="9"/>
        </patternFill>
      </fill>
    </dxf>
    <dxf>
      <font>
        <b val="0"/>
        <i val="0"/>
        <strike val="0"/>
        <condense val="0"/>
        <extend val="0"/>
        <outline val="0"/>
        <shadow val="0"/>
        <u val="none"/>
        <vertAlign val="baseline"/>
        <sz val="11"/>
        <color theme="0"/>
        <name val="Calibri Light"/>
        <family val="2"/>
        <scheme val="minor"/>
      </font>
      <numFmt numFmtId="2" formatCode="0.00"/>
      <fill>
        <patternFill patternType="solid">
          <fgColor theme="4" tint="0.79998168889431442"/>
          <bgColor theme="4" tint="0.79998168889431442"/>
        </patternFill>
      </fill>
      <alignment horizontal="right" vertical="center" textRotation="0" wrapText="0" indent="0" justifyLastLine="0" shrinkToFit="0" readingOrder="0"/>
    </dxf>
    <dxf>
      <fill>
        <patternFill patternType="solid">
          <fgColor indexed="64"/>
          <bgColor theme="0"/>
        </patternFill>
      </fill>
      <alignment horizontal="right" vertical="center" textRotation="0" wrapText="0" indent="0" justifyLastLine="0" shrinkToFit="0" readingOrder="0"/>
    </dxf>
    <dxf>
      <font>
        <b val="0"/>
        <i val="0"/>
        <strike val="0"/>
        <condense val="0"/>
        <extend val="0"/>
        <outline val="0"/>
        <shadow val="0"/>
        <u val="none"/>
        <vertAlign val="baseline"/>
        <sz val="11"/>
        <color theme="1"/>
        <name val="Calibri Light"/>
        <family val="2"/>
        <scheme val="minor"/>
      </font>
      <fill>
        <patternFill patternType="solid">
          <fgColor theme="4" tint="0.79998168889431442"/>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0"/>
        <name val="Calibri Light"/>
        <family val="2"/>
        <scheme val="minor"/>
      </font>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right" vertical="center" textRotation="0" wrapText="1" indent="0" justifyLastLine="0" shrinkToFit="0" readingOrder="0"/>
    </dxf>
    <dxf>
      <fill>
        <patternFill patternType="solid">
          <fgColor indexed="64"/>
          <bgColor theme="0"/>
        </patternFill>
      </fill>
      <alignment horizontal="right" vertical="center" textRotation="0" wrapText="1" indent="0" justifyLastLine="0" shrinkToFit="0" readingOrder="0"/>
    </dxf>
    <dxf>
      <font>
        <b val="0"/>
        <i val="0"/>
        <strike val="0"/>
        <condense val="0"/>
        <extend val="0"/>
        <outline val="0"/>
        <shadow val="0"/>
        <u val="none"/>
        <vertAlign val="baseline"/>
        <sz val="11"/>
        <color theme="1"/>
        <name val="Calibri Light"/>
        <family val="2"/>
        <scheme val="minor"/>
      </font>
      <fill>
        <patternFill patternType="solid">
          <fgColor indexed="64"/>
          <bgColor rgb="FFC00000"/>
        </patternFill>
      </fill>
      <alignment horizontal="center" vertical="bottom" textRotation="0" wrapText="0" indent="0" justifyLastLine="0" shrinkToFit="0" readingOrder="0"/>
    </dxf>
    <dxf>
      <font>
        <b val="0"/>
        <i val="0"/>
        <strike val="0"/>
        <condense val="0"/>
        <extend val="0"/>
        <outline val="0"/>
        <shadow val="0"/>
        <u val="none"/>
        <vertAlign val="baseline"/>
        <sz val="11"/>
        <color theme="0"/>
        <name val="Calibri Light"/>
        <family val="2"/>
        <scheme val="minor"/>
      </font>
      <numFmt numFmtId="2" formatCode="0.00"/>
      <fill>
        <patternFill patternType="solid">
          <fgColor theme="4" tint="0.79998168889431442"/>
          <bgColor theme="4" tint="0.79998168889431442"/>
        </patternFill>
      </fill>
      <alignment horizontal="general" vertical="center" textRotation="0" wrapText="0" indent="0" justifyLastLine="0" shrinkToFit="0" readingOrder="0"/>
      <border diagonalUp="0" diagonalDown="0">
        <left/>
        <right style="thin">
          <color theme="4" tint="0.39997558519241921"/>
        </right>
        <top style="thin">
          <color theme="4" tint="0.39997558519241921"/>
        </top>
        <bottom style="thin">
          <color theme="4" tint="0.39997558519241921"/>
        </bottom>
      </border>
    </dxf>
    <dxf>
      <fill>
        <patternFill patternType="solid">
          <fgColor indexed="64"/>
          <bgColor theme="0"/>
        </patternFill>
      </fill>
    </dxf>
    <dxf>
      <fill>
        <patternFill patternType="solid">
          <fgColor indexed="64"/>
          <bgColor theme="0"/>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Light"/>
        <family val="2"/>
        <scheme val="minor"/>
      </font>
      <fill>
        <patternFill patternType="solid">
          <fgColor theme="4" tint="0.79998168889431442"/>
          <bgColor theme="0"/>
        </patternFill>
      </fill>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Light"/>
        <family val="2"/>
        <scheme val="minor"/>
      </font>
      <fill>
        <patternFill patternType="solid">
          <fgColor theme="4" tint="0.79998168889431442"/>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0"/>
        <name val="Calibri Light"/>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0"/>
        <name val="Calibri Light"/>
        <family val="2"/>
        <scheme val="minor"/>
      </font>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alignment horizontal="right" vertical="center" textRotation="0" wrapText="0" indent="0" justifyLastLine="0" shrinkToFit="0" readingOrder="0"/>
    </dxf>
    <dxf>
      <fill>
        <patternFill patternType="solid">
          <fgColor indexed="64"/>
          <bgColor theme="0"/>
        </patternFill>
      </fill>
    </dxf>
    <dxf>
      <fill>
        <patternFill patternType="solid">
          <fgColor indexed="64"/>
          <bgColor theme="0"/>
        </patternFill>
      </fill>
      <alignment horizontal="general" vertical="center" textRotation="0" wrapText="0" indent="0" justifyLastLine="0" shrinkToFit="0" readingOrder="0"/>
    </dxf>
    <dxf>
      <font>
        <strike val="0"/>
        <outline val="0"/>
        <shadow val="0"/>
        <u val="none"/>
        <vertAlign val="baseline"/>
        <sz val="11"/>
        <color theme="1"/>
        <name val="Calibri Light"/>
        <family val="2"/>
        <scheme val="minor"/>
      </font>
      <fill>
        <patternFill patternType="solid">
          <fgColor indexed="64"/>
          <bgColor rgb="FFC00000"/>
        </patternFill>
      </fill>
      <alignment horizontal="center" vertical="bottom" textRotation="0" wrapText="0" indent="0" justifyLastLine="0" shrinkToFit="0" readingOrder="0"/>
    </dxf>
    <dxf>
      <fill>
        <patternFill>
          <bgColor rgb="FFFF0000"/>
        </patternFill>
      </fill>
    </dxf>
    <dxf>
      <fill>
        <patternFill>
          <bgColor rgb="FFFF9933"/>
        </patternFill>
      </fill>
    </dxf>
    <dxf>
      <fill>
        <patternFill>
          <bgColor rgb="FFFFFF00"/>
        </patternFill>
      </fill>
    </dxf>
    <dxf>
      <fill>
        <patternFill>
          <bgColor rgb="FFCCFF66"/>
        </patternFill>
      </fill>
    </dxf>
    <dxf>
      <fill>
        <patternFill>
          <bgColor theme="9"/>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9933"/>
        </patternFill>
      </fill>
    </dxf>
    <dxf>
      <fill>
        <patternFill>
          <bgColor rgb="FFFFFF00"/>
        </patternFill>
      </fill>
    </dxf>
    <dxf>
      <fill>
        <patternFill>
          <bgColor rgb="FFCCFF66"/>
        </patternFill>
      </fill>
    </dxf>
    <dxf>
      <fill>
        <patternFill>
          <bgColor theme="9"/>
        </patternFill>
      </fill>
    </dxf>
    <dxf>
      <fill>
        <patternFill>
          <bgColor rgb="FF00B050"/>
        </patternFill>
      </fill>
    </dxf>
    <dxf>
      <fill>
        <patternFill>
          <bgColor rgb="FFFF0000"/>
        </patternFill>
      </fill>
    </dxf>
    <dxf>
      <font>
        <strike val="0"/>
        <outline val="0"/>
        <shadow val="0"/>
        <u val="none"/>
        <vertAlign val="baseline"/>
        <sz val="11"/>
        <color theme="0"/>
        <name val="Calibri Light"/>
        <family val="2"/>
        <scheme val="minor"/>
      </font>
      <numFmt numFmtId="2" formatCode="0.00"/>
    </dxf>
    <dxf>
      <fill>
        <patternFill patternType="solid">
          <fgColor indexed="64"/>
          <bgColor theme="2"/>
        </patternFill>
      </fill>
    </dxf>
    <dxf>
      <fill>
        <patternFill>
          <bgColor rgb="FF00CCD6"/>
        </patternFill>
      </fill>
    </dxf>
    <dxf>
      <fill>
        <patternFill>
          <bgColor theme="5" tint="0.39994506668294322"/>
        </patternFill>
      </fill>
    </dxf>
    <dxf>
      <fill>
        <patternFill>
          <bgColor rgb="FFFF8F43"/>
        </patternFill>
      </fill>
    </dxf>
    <dxf>
      <fill>
        <patternFill>
          <bgColor rgb="FFFBFB05"/>
        </patternFill>
      </fill>
    </dxf>
    <dxf>
      <fill>
        <patternFill>
          <bgColor rgb="FFFF0000"/>
        </patternFill>
      </fill>
    </dxf>
    <dxf>
      <fill>
        <patternFill>
          <bgColor rgb="FF7030A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9933"/>
        </patternFill>
      </fill>
    </dxf>
    <dxf>
      <fill>
        <patternFill>
          <bgColor rgb="FFFFFF00"/>
        </patternFill>
      </fill>
    </dxf>
    <dxf>
      <fill>
        <patternFill>
          <bgColor rgb="FFCCFF66"/>
        </patternFill>
      </fill>
    </dxf>
    <dxf>
      <fill>
        <patternFill>
          <bgColor theme="9"/>
        </patternFill>
      </fill>
    </dxf>
    <dxf>
      <fill>
        <patternFill patternType="solid">
          <fgColor indexed="64"/>
          <bgColor theme="2"/>
        </patternFill>
      </fill>
    </dxf>
    <dxf>
      <border outline="0">
        <top style="thin">
          <color auto="1"/>
        </top>
      </border>
    </dxf>
    <dxf>
      <fill>
        <patternFill patternType="solid">
          <fgColor indexed="64"/>
          <bgColor theme="2"/>
        </patternFill>
      </fill>
    </dxf>
    <dxf>
      <border outline="0">
        <bottom style="thin">
          <color auto="1"/>
        </bottom>
      </border>
    </dxf>
    <dxf>
      <font>
        <strike val="0"/>
        <outline val="0"/>
        <shadow val="0"/>
        <u val="none"/>
        <vertAlign val="baseline"/>
        <sz val="11"/>
        <color rgb="FFFF0000"/>
        <name val="Calibri Light"/>
        <family val="2"/>
        <scheme val="minor"/>
      </font>
      <fill>
        <patternFill patternType="solid">
          <fgColor indexed="64"/>
          <bgColor theme="2"/>
        </patternFill>
      </fill>
    </dxf>
    <dxf>
      <fill>
        <patternFill>
          <bgColor theme="9" tint="0.79998168889431442"/>
        </patternFill>
      </fill>
    </dxf>
    <dxf>
      <fill>
        <patternFill>
          <bgColor rgb="FFFF8F43"/>
        </patternFill>
      </fill>
    </dxf>
    <dxf>
      <fill>
        <patternFill>
          <bgColor rgb="FFFBFB05"/>
        </patternFill>
      </fill>
    </dxf>
    <dxf>
      <fill>
        <patternFill>
          <bgColor rgb="FFFF0000"/>
        </patternFill>
      </fill>
    </dxf>
    <dxf>
      <fill>
        <patternFill>
          <bgColor rgb="FF00CCD6"/>
        </patternFill>
      </fill>
    </dxf>
    <dxf>
      <fill>
        <patternFill>
          <bgColor theme="5" tint="0.39994506668294322"/>
        </patternFill>
      </fill>
    </dxf>
    <dxf>
      <fill>
        <patternFill>
          <bgColor rgb="FFFF8F43"/>
        </patternFill>
      </fill>
    </dxf>
    <dxf>
      <fill>
        <patternFill>
          <bgColor rgb="FFFBFB05"/>
        </patternFill>
      </fill>
    </dxf>
    <dxf>
      <fill>
        <patternFill>
          <bgColor rgb="FFFF0000"/>
        </patternFill>
      </fill>
    </dxf>
    <dxf>
      <fill>
        <patternFill>
          <bgColor rgb="FF7030A0"/>
        </patternFill>
      </fill>
    </dxf>
    <dxf>
      <fill>
        <patternFill>
          <bgColor theme="8" tint="0.79998168889431442"/>
        </patternFill>
      </fill>
      <border>
        <left style="thin">
          <color auto="1"/>
        </left>
        <right style="thin">
          <color auto="1"/>
        </right>
        <top style="thin">
          <color auto="1"/>
        </top>
        <bottom style="thin">
          <color auto="1"/>
        </bottom>
      </border>
    </dxf>
    <dxf>
      <fill>
        <patternFill>
          <bgColor theme="9" tint="0.79998168889431442"/>
        </patternFill>
      </fill>
      <border>
        <left style="thin">
          <color auto="1"/>
        </left>
        <right style="thin">
          <color auto="1"/>
        </right>
        <top style="thin">
          <color auto="1"/>
        </top>
        <bottom style="thin">
          <color auto="1"/>
        </bottom>
      </border>
    </dxf>
    <dxf>
      <fill>
        <patternFill>
          <bgColor theme="5" tint="0.79998168889431442"/>
        </patternFill>
      </fill>
      <border>
        <left style="thin">
          <color auto="1"/>
        </left>
        <right style="thin">
          <color auto="1"/>
        </right>
        <top style="thin">
          <color auto="1"/>
        </top>
        <bottom style="thin">
          <color auto="1"/>
        </bottom>
      </border>
    </dxf>
    <dxf>
      <fill>
        <patternFill>
          <bgColor theme="7" tint="0.79998168889431442"/>
        </patternFill>
      </fill>
      <border>
        <left style="thin">
          <color auto="1"/>
        </left>
        <right style="thin">
          <color auto="1"/>
        </right>
        <top style="thin">
          <color auto="1"/>
        </top>
        <bottom style="thin">
          <color auto="1"/>
        </bottom>
      </border>
    </dxf>
  </dxfs>
  <tableStyles count="0" defaultTableStyle="TableStyleMedium2" defaultPivotStyle="PivotStyleLight16"/>
  <colors>
    <mruColors>
      <color rgb="FFEAF0E0"/>
      <color rgb="FFFF8F43"/>
      <color rgb="FF00CCD6"/>
      <color rgb="FF0CE64A"/>
      <color rgb="FFCCFF66"/>
      <color rgb="FFFF9933"/>
      <color rgb="FFFBFB05"/>
      <color rgb="FFFAB072"/>
      <color rgb="FFF88220"/>
      <color rgb="FFF2720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calcChain" Target="calcChain.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4</xdr:col>
      <xdr:colOff>27349</xdr:colOff>
      <xdr:row>3</xdr:row>
      <xdr:rowOff>12686</xdr:rowOff>
    </xdr:from>
    <xdr:to>
      <xdr:col>4</xdr:col>
      <xdr:colOff>935566</xdr:colOff>
      <xdr:row>4</xdr:row>
      <xdr:rowOff>339</xdr:rowOff>
    </xdr:to>
    <xdr:sp macro="[0]!Button_Click" textlink="">
      <xdr:nvSpPr>
        <xdr:cNvPr id="3" name="LinkBtn1">
          <a:extLst>
            <a:ext uri="{FF2B5EF4-FFF2-40B4-BE49-F238E27FC236}">
              <a16:creationId xmlns:a16="http://schemas.microsoft.com/office/drawing/2014/main" id="{AE84B385-95B2-7ACE-F1AD-3AFD5980B1C7}"/>
            </a:ext>
          </a:extLst>
        </xdr:cNvPr>
        <xdr:cNvSpPr/>
      </xdr:nvSpPr>
      <xdr:spPr>
        <a:xfrm>
          <a:off x="5595811" y="606167"/>
          <a:ext cx="908217" cy="170826"/>
        </a:xfrm>
        <a:prstGeom prst="round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PH" sz="1100"/>
            <a:t>1.A</a:t>
          </a:r>
        </a:p>
      </xdr:txBody>
    </xdr:sp>
    <xdr:clientData/>
  </xdr:twoCellAnchor>
  <xdr:twoCellAnchor>
    <xdr:from>
      <xdr:col>4</xdr:col>
      <xdr:colOff>27080</xdr:colOff>
      <xdr:row>4</xdr:row>
      <xdr:rowOff>3713</xdr:rowOff>
    </xdr:from>
    <xdr:to>
      <xdr:col>4</xdr:col>
      <xdr:colOff>935297</xdr:colOff>
      <xdr:row>4</xdr:row>
      <xdr:rowOff>174539</xdr:rowOff>
    </xdr:to>
    <xdr:sp macro="[0]!Button_Click" textlink="">
      <xdr:nvSpPr>
        <xdr:cNvPr id="4" name="LinkBtn2">
          <a:extLst>
            <a:ext uri="{FF2B5EF4-FFF2-40B4-BE49-F238E27FC236}">
              <a16:creationId xmlns:a16="http://schemas.microsoft.com/office/drawing/2014/main" id="{DA6F6798-7E5C-4882-88E4-5F3A1632EA28}"/>
            </a:ext>
          </a:extLst>
        </xdr:cNvPr>
        <xdr:cNvSpPr/>
      </xdr:nvSpPr>
      <xdr:spPr>
        <a:xfrm>
          <a:off x="5594596" y="864036"/>
          <a:ext cx="908217" cy="170826"/>
        </a:xfrm>
        <a:prstGeom prst="round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PH" sz="1100"/>
            <a:t>2.A</a:t>
          </a:r>
        </a:p>
      </xdr:txBody>
    </xdr:sp>
    <xdr:clientData/>
  </xdr:twoCellAnchor>
  <mc:AlternateContent xmlns:mc="http://schemas.openxmlformats.org/markup-compatibility/2006">
    <mc:Choice xmlns:a14="http://schemas.microsoft.com/office/drawing/2010/main" Requires="a14">
      <xdr:twoCellAnchor editAs="oneCell">
        <xdr:from>
          <xdr:col>8</xdr:col>
          <xdr:colOff>0</xdr:colOff>
          <xdr:row>8</xdr:row>
          <xdr:rowOff>22860</xdr:rowOff>
        </xdr:from>
        <xdr:to>
          <xdr:col>9</xdr:col>
          <xdr:colOff>419101</xdr:colOff>
          <xdr:row>9</xdr:row>
          <xdr:rowOff>99060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PH" sz="1100" b="0" i="0" u="none" strike="noStrike" baseline="0">
                  <a:solidFill>
                    <a:srgbClr val="000000"/>
                  </a:solidFill>
                  <a:latin typeface="Calibri Light"/>
                  <a:cs typeface="Calibri Light"/>
                </a:rPr>
                <a:t>Create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533400</xdr:colOff>
          <xdr:row>8</xdr:row>
          <xdr:rowOff>22860</xdr:rowOff>
        </xdr:from>
        <xdr:to>
          <xdr:col>9</xdr:col>
          <xdr:colOff>1478280</xdr:colOff>
          <xdr:row>9</xdr:row>
          <xdr:rowOff>106680</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PH" sz="1100" b="0" i="0" u="none" strike="noStrike" baseline="0">
                  <a:solidFill>
                    <a:srgbClr val="000000"/>
                  </a:solidFill>
                  <a:latin typeface="Calibri Light"/>
                  <a:cs typeface="Calibri Light"/>
                </a:rPr>
                <a:t>Clear</a:t>
              </a:r>
            </a:p>
          </xdr:txBody>
        </xdr:sp>
        <xdr:clientData fPrintsWithSheet="0"/>
      </xdr:twoCellAnchor>
    </mc:Choice>
    <mc:Fallback/>
  </mc:AlternateContent>
  <xdr:twoCellAnchor>
    <xdr:from>
      <xdr:col>4</xdr:col>
      <xdr:colOff>27080</xdr:colOff>
      <xdr:row>5</xdr:row>
      <xdr:rowOff>17059</xdr:rowOff>
    </xdr:from>
    <xdr:to>
      <xdr:col>4</xdr:col>
      <xdr:colOff>935297</xdr:colOff>
      <xdr:row>6</xdr:row>
      <xdr:rowOff>5005</xdr:rowOff>
    </xdr:to>
    <xdr:sp macro="[0]!Button_Click" textlink="">
      <xdr:nvSpPr>
        <xdr:cNvPr id="48" name="LinkBtn3">
          <a:extLst>
            <a:ext uri="{FF2B5EF4-FFF2-40B4-BE49-F238E27FC236}">
              <a16:creationId xmlns:a16="http://schemas.microsoft.com/office/drawing/2014/main" id="{01B4229B-2213-8D94-FCA7-1071613F1382}"/>
            </a:ext>
          </a:extLst>
        </xdr:cNvPr>
        <xdr:cNvSpPr/>
      </xdr:nvSpPr>
      <xdr:spPr>
        <a:xfrm>
          <a:off x="5787800" y="1060999"/>
          <a:ext cx="908217" cy="170826"/>
        </a:xfrm>
        <a:prstGeom prst="round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PH" sz="1100"/>
            <a:t>2.B</a:t>
          </a:r>
        </a:p>
      </xdr:txBody>
    </xdr:sp>
    <xdr:clientData/>
  </xdr:twoCellAnchor>
  <xdr:twoCellAnchor>
    <xdr:from>
      <xdr:col>4</xdr:col>
      <xdr:colOff>27080</xdr:colOff>
      <xdr:row>6</xdr:row>
      <xdr:rowOff>30405</xdr:rowOff>
    </xdr:from>
    <xdr:to>
      <xdr:col>4</xdr:col>
      <xdr:colOff>935297</xdr:colOff>
      <xdr:row>7</xdr:row>
      <xdr:rowOff>18351</xdr:rowOff>
    </xdr:to>
    <xdr:sp macro="[0]!Button_Click" textlink="">
      <xdr:nvSpPr>
        <xdr:cNvPr id="50" name="LinkBtn4">
          <a:extLst>
            <a:ext uri="{FF2B5EF4-FFF2-40B4-BE49-F238E27FC236}">
              <a16:creationId xmlns:a16="http://schemas.microsoft.com/office/drawing/2014/main" id="{39B4A481-E940-4EEF-6E84-AD7161DE3DA3}"/>
            </a:ext>
          </a:extLst>
        </xdr:cNvPr>
        <xdr:cNvSpPr/>
      </xdr:nvSpPr>
      <xdr:spPr>
        <a:xfrm>
          <a:off x="5787800" y="1257225"/>
          <a:ext cx="908217" cy="170826"/>
        </a:xfrm>
        <a:prstGeom prst="round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PH" sz="1100"/>
            <a:t>3.A</a:t>
          </a:r>
        </a:p>
      </xdr:txBody>
    </xdr:sp>
    <xdr:clientData/>
  </xdr:twoCellAnchor>
  <xdr:twoCellAnchor>
    <xdr:from>
      <xdr:col>4</xdr:col>
      <xdr:colOff>27080</xdr:colOff>
      <xdr:row>7</xdr:row>
      <xdr:rowOff>43751</xdr:rowOff>
    </xdr:from>
    <xdr:to>
      <xdr:col>4</xdr:col>
      <xdr:colOff>935297</xdr:colOff>
      <xdr:row>8</xdr:row>
      <xdr:rowOff>31697</xdr:rowOff>
    </xdr:to>
    <xdr:sp macro="[0]!Button_Click" textlink="">
      <xdr:nvSpPr>
        <xdr:cNvPr id="51" name="LinkBtn5">
          <a:extLst>
            <a:ext uri="{FF2B5EF4-FFF2-40B4-BE49-F238E27FC236}">
              <a16:creationId xmlns:a16="http://schemas.microsoft.com/office/drawing/2014/main" id="{74FF26FC-8953-425E-6D40-51F06E9310D7}"/>
            </a:ext>
          </a:extLst>
        </xdr:cNvPr>
        <xdr:cNvSpPr/>
      </xdr:nvSpPr>
      <xdr:spPr>
        <a:xfrm>
          <a:off x="5825900" y="1453451"/>
          <a:ext cx="908217" cy="170826"/>
        </a:xfrm>
        <a:prstGeom prst="round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PH" sz="1100"/>
            <a:t>1.B</a:t>
          </a:r>
        </a:p>
      </xdr:txBody>
    </xdr:sp>
    <xdr:clientData/>
  </xdr:twoCellAnchor>
  <xdr:twoCellAnchor>
    <xdr:from>
      <xdr:col>4</xdr:col>
      <xdr:colOff>27080</xdr:colOff>
      <xdr:row>8</xdr:row>
      <xdr:rowOff>57097</xdr:rowOff>
    </xdr:from>
    <xdr:to>
      <xdr:col>4</xdr:col>
      <xdr:colOff>935297</xdr:colOff>
      <xdr:row>9</xdr:row>
      <xdr:rowOff>45043</xdr:rowOff>
    </xdr:to>
    <xdr:sp macro="[0]!Button_Click" textlink="">
      <xdr:nvSpPr>
        <xdr:cNvPr id="52" name="LinkBtn6">
          <a:extLst>
            <a:ext uri="{FF2B5EF4-FFF2-40B4-BE49-F238E27FC236}">
              <a16:creationId xmlns:a16="http://schemas.microsoft.com/office/drawing/2014/main" id="{36F453B1-6E42-4C90-FC66-0D704899DC44}"/>
            </a:ext>
          </a:extLst>
        </xdr:cNvPr>
        <xdr:cNvSpPr/>
      </xdr:nvSpPr>
      <xdr:spPr>
        <a:xfrm>
          <a:off x="5650640" y="1649677"/>
          <a:ext cx="908217" cy="170826"/>
        </a:xfrm>
        <a:prstGeom prst="round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PH" sz="1100"/>
            <a:t>4.A</a:t>
          </a:r>
        </a:p>
      </xdr:txBody>
    </xdr:sp>
    <xdr:clientData/>
  </xdr:twoCellAnchor>
  <xdr:twoCellAnchor>
    <xdr:from>
      <xdr:col>4</xdr:col>
      <xdr:colOff>27080</xdr:colOff>
      <xdr:row>9</xdr:row>
      <xdr:rowOff>70443</xdr:rowOff>
    </xdr:from>
    <xdr:to>
      <xdr:col>4</xdr:col>
      <xdr:colOff>935297</xdr:colOff>
      <xdr:row>10</xdr:row>
      <xdr:rowOff>58389</xdr:rowOff>
    </xdr:to>
    <xdr:sp macro="[0]!Button_Click" textlink="">
      <xdr:nvSpPr>
        <xdr:cNvPr id="2" name="LinkBtn7">
          <a:extLst>
            <a:ext uri="{FF2B5EF4-FFF2-40B4-BE49-F238E27FC236}">
              <a16:creationId xmlns:a16="http://schemas.microsoft.com/office/drawing/2014/main" id="{69E3F214-FCF5-2DBF-B9EB-AF81468CC9FD}"/>
            </a:ext>
          </a:extLst>
        </xdr:cNvPr>
        <xdr:cNvSpPr/>
      </xdr:nvSpPr>
      <xdr:spPr>
        <a:xfrm>
          <a:off x="5742080" y="1845903"/>
          <a:ext cx="908217" cy="170826"/>
        </a:xfrm>
        <a:prstGeom prst="round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PH" sz="1100"/>
            <a:t>2.C</a:t>
          </a:r>
        </a:p>
      </xdr:txBody>
    </xdr:sp>
    <xdr:clientData/>
  </xdr:twoCellAnchor>
  <xdr:twoCellAnchor>
    <xdr:from>
      <xdr:col>4</xdr:col>
      <xdr:colOff>27080</xdr:colOff>
      <xdr:row>10</xdr:row>
      <xdr:rowOff>83789</xdr:rowOff>
    </xdr:from>
    <xdr:to>
      <xdr:col>4</xdr:col>
      <xdr:colOff>935297</xdr:colOff>
      <xdr:row>11</xdr:row>
      <xdr:rowOff>71735</xdr:rowOff>
    </xdr:to>
    <xdr:sp macro="[0]!Button_Click" textlink="">
      <xdr:nvSpPr>
        <xdr:cNvPr id="5" name="LinkBtn8">
          <a:extLst>
            <a:ext uri="{FF2B5EF4-FFF2-40B4-BE49-F238E27FC236}">
              <a16:creationId xmlns:a16="http://schemas.microsoft.com/office/drawing/2014/main" id="{19EA9BC4-E53C-F3EA-F39C-5218D87E9ED1}"/>
            </a:ext>
          </a:extLst>
        </xdr:cNvPr>
        <xdr:cNvSpPr/>
      </xdr:nvSpPr>
      <xdr:spPr>
        <a:xfrm>
          <a:off x="5330600" y="2042129"/>
          <a:ext cx="908217" cy="170826"/>
        </a:xfrm>
        <a:prstGeom prst="round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PH" sz="1100"/>
            <a:t>3.B</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6</xdr:col>
      <xdr:colOff>214107</xdr:colOff>
      <xdr:row>5</xdr:row>
      <xdr:rowOff>75306</xdr:rowOff>
    </xdr:from>
    <xdr:to>
      <xdr:col>9</xdr:col>
      <xdr:colOff>214107</xdr:colOff>
      <xdr:row>18</xdr:row>
      <xdr:rowOff>165817</xdr:rowOff>
    </xdr:to>
    <mc:AlternateContent xmlns:mc="http://schemas.openxmlformats.org/markup-compatibility/2006" xmlns:sle15="http://schemas.microsoft.com/office/drawing/2012/slicer">
      <mc:Choice Requires="sle15">
        <xdr:graphicFrame macro="">
          <xdr:nvGraphicFramePr>
            <xdr:cNvPr id="2" name="Status">
              <a:extLst>
                <a:ext uri="{FF2B5EF4-FFF2-40B4-BE49-F238E27FC236}">
                  <a16:creationId xmlns:a16="http://schemas.microsoft.com/office/drawing/2014/main" id="{040F1FB4-9E0C-6578-0BE8-8C2B306B6419}"/>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6123495" y="1086122"/>
              <a:ext cx="1819469" cy="2516471"/>
            </a:xfrm>
            <a:prstGeom prst="rect">
              <a:avLst/>
            </a:prstGeom>
            <a:solidFill>
              <a:prstClr val="white"/>
            </a:solidFill>
            <a:ln w="1">
              <a:solidFill>
                <a:prstClr val="green"/>
              </a:solidFill>
            </a:ln>
          </xdr:spPr>
          <xdr:txBody>
            <a:bodyPr vertOverflow="clip" horzOverflow="clip"/>
            <a:lstStyle/>
            <a:p>
              <a:r>
                <a:rPr lang="en-PH"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9</xdr:col>
      <xdr:colOff>298774</xdr:colOff>
      <xdr:row>5</xdr:row>
      <xdr:rowOff>77343</xdr:rowOff>
    </xdr:from>
    <xdr:to>
      <xdr:col>12</xdr:col>
      <xdr:colOff>298773</xdr:colOff>
      <xdr:row>18</xdr:row>
      <xdr:rowOff>167854</xdr:rowOff>
    </xdr:to>
    <mc:AlternateContent xmlns:mc="http://schemas.openxmlformats.org/markup-compatibility/2006" xmlns:sle15="http://schemas.microsoft.com/office/drawing/2012/slicer">
      <mc:Choice Requires="sle15">
        <xdr:graphicFrame macro="">
          <xdr:nvGraphicFramePr>
            <xdr:cNvPr id="3" name="Priority">
              <a:extLst>
                <a:ext uri="{FF2B5EF4-FFF2-40B4-BE49-F238E27FC236}">
                  <a16:creationId xmlns:a16="http://schemas.microsoft.com/office/drawing/2014/main" id="{23B5A4AB-3343-B118-35AE-C84003F0D3A5}"/>
                </a:ext>
              </a:extLst>
            </xdr:cNvPr>
            <xdr:cNvGraphicFramePr/>
          </xdr:nvGraphicFramePr>
          <xdr:xfrm>
            <a:off x="0" y="0"/>
            <a:ext cx="0" cy="0"/>
          </xdr:xfrm>
          <a:graphic>
            <a:graphicData uri="http://schemas.microsoft.com/office/drawing/2010/slicer">
              <sle:slicer xmlns:sle="http://schemas.microsoft.com/office/drawing/2010/slicer" name="Priority"/>
            </a:graphicData>
          </a:graphic>
        </xdr:graphicFrame>
      </mc:Choice>
      <mc:Fallback xmlns="">
        <xdr:sp macro="" textlink="">
          <xdr:nvSpPr>
            <xdr:cNvPr id="0" name=""/>
            <xdr:cNvSpPr>
              <a:spLocks noTextEdit="1"/>
            </xdr:cNvSpPr>
          </xdr:nvSpPr>
          <xdr:spPr>
            <a:xfrm>
              <a:off x="8027631" y="1088159"/>
              <a:ext cx="1819469" cy="2516471"/>
            </a:xfrm>
            <a:prstGeom prst="rect">
              <a:avLst/>
            </a:prstGeom>
            <a:solidFill>
              <a:prstClr val="white"/>
            </a:solidFill>
            <a:ln w="1">
              <a:solidFill>
                <a:prstClr val="green"/>
              </a:solidFill>
            </a:ln>
          </xdr:spPr>
          <xdr:txBody>
            <a:bodyPr vertOverflow="clip" horzOverflow="clip"/>
            <a:lstStyle/>
            <a:p>
              <a:r>
                <a:rPr lang="en-PH"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oneCellAnchor>
    <xdr:from>
      <xdr:col>0</xdr:col>
      <xdr:colOff>45720</xdr:colOff>
      <xdr:row>0</xdr:row>
      <xdr:rowOff>99060</xdr:rowOff>
    </xdr:from>
    <xdr:ext cx="4739640" cy="739140"/>
    <xdr:sp macro="" textlink="">
      <xdr:nvSpPr>
        <xdr:cNvPr id="2" name="TextBox 1">
          <a:extLst>
            <a:ext uri="{FF2B5EF4-FFF2-40B4-BE49-F238E27FC236}">
              <a16:creationId xmlns:a16="http://schemas.microsoft.com/office/drawing/2014/main" id="{BD1A19F9-A9F0-92BE-59F4-E87DFB657541}"/>
            </a:ext>
          </a:extLst>
        </xdr:cNvPr>
        <xdr:cNvSpPr txBox="1"/>
      </xdr:nvSpPr>
      <xdr:spPr>
        <a:xfrm>
          <a:off x="45720" y="99060"/>
          <a:ext cx="4739640" cy="739140"/>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PH" sz="1100" b="1"/>
            <a:t>Mission:</a:t>
          </a:r>
          <a:r>
            <a:rPr lang="en-PH" sz="1100" b="1" baseline="0">
              <a:solidFill>
                <a:srgbClr val="FF0000"/>
              </a:solidFill>
            </a:rPr>
            <a:t> </a:t>
          </a:r>
          <a:r>
            <a:rPr lang="en-PH" sz="1100" baseline="0">
              <a:solidFill>
                <a:srgbClr val="FF0000"/>
              </a:solidFill>
            </a:rPr>
            <a:t>Mastery Level</a:t>
          </a:r>
        </a:p>
        <a:p>
          <a:r>
            <a:rPr lang="en-PH" sz="1100" b="1" baseline="0"/>
            <a:t>Vision:</a:t>
          </a:r>
          <a:r>
            <a:rPr lang="en-PH" sz="1100" baseline="0"/>
            <a:t> Ability to recall importance and immediately apply OOP ideas instinctively with the inclusion of very rare OOP features and the underhood </a:t>
          </a:r>
          <a:endParaRPr lang="en-PH" sz="1100"/>
        </a:p>
      </xdr:txBody>
    </xdr:sp>
    <xdr:clientData/>
  </xdr:oneCellAnchor>
  <xdr:twoCellAnchor>
    <xdr:from>
      <xdr:col>0</xdr:col>
      <xdr:colOff>38100</xdr:colOff>
      <xdr:row>5</xdr:row>
      <xdr:rowOff>121920</xdr:rowOff>
    </xdr:from>
    <xdr:to>
      <xdr:col>8</xdr:col>
      <xdr:colOff>0</xdr:colOff>
      <xdr:row>11</xdr:row>
      <xdr:rowOff>230697</xdr:rowOff>
    </xdr:to>
    <xdr:sp macro="" textlink="">
      <xdr:nvSpPr>
        <xdr:cNvPr id="3" name="TextBox 2">
          <a:extLst>
            <a:ext uri="{FF2B5EF4-FFF2-40B4-BE49-F238E27FC236}">
              <a16:creationId xmlns:a16="http://schemas.microsoft.com/office/drawing/2014/main" id="{BECAEE5C-9E7C-F8F1-F912-8A2A653476F4}"/>
            </a:ext>
          </a:extLst>
        </xdr:cNvPr>
        <xdr:cNvSpPr txBox="1"/>
      </xdr:nvSpPr>
      <xdr:spPr>
        <a:xfrm>
          <a:off x="38100" y="1114617"/>
          <a:ext cx="5198028" cy="138110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PH" sz="1600" b="1"/>
            <a:t>Resources</a:t>
          </a:r>
          <a:endParaRPr lang="en-PH" sz="1100" b="0"/>
        </a:p>
        <a:p>
          <a:pPr algn="l"/>
          <a:r>
            <a:rPr lang="en-PH" sz="1100" b="0"/>
            <a:t>*</a:t>
          </a:r>
          <a:r>
            <a:rPr lang="en-PH" sz="1100" b="0" baseline="0"/>
            <a:t> https://dl.acm.org/</a:t>
          </a:r>
        </a:p>
        <a:p>
          <a:pPr algn="l"/>
          <a:r>
            <a:rPr lang="en-PH" sz="1100" b="0" baseline="0"/>
            <a:t>* https://refactoring.guru/refactoring </a:t>
          </a:r>
        </a:p>
        <a:p>
          <a:pPr algn="l"/>
          <a:r>
            <a:rPr lang="en-PH" sz="1100" b="0" baseline="0"/>
            <a:t>* https://en.wikipedia.org/wiki/Programming_paradigm</a:t>
          </a:r>
        </a:p>
        <a:p>
          <a:pPr algn="l"/>
          <a:r>
            <a:rPr lang="en-PH" sz="1100" b="0" baseline="0"/>
            <a:t>* https://upload.wikimedia.org/wikipedia/commons/f/f7/Programming_paradigms.svg</a:t>
          </a:r>
        </a:p>
        <a:p>
          <a:pPr algn="l"/>
          <a:r>
            <a:rPr lang="en-PH" sz="1100" b="0" baseline="0"/>
            <a:t>* https://www.geeksforgeeks.org/system-design/solid-principle-in-programming-understand-with-real-life-examples/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328061</xdr:colOff>
      <xdr:row>3</xdr:row>
      <xdr:rowOff>106680</xdr:rowOff>
    </xdr:from>
    <xdr:to>
      <xdr:col>3</xdr:col>
      <xdr:colOff>294461</xdr:colOff>
      <xdr:row>6</xdr:row>
      <xdr:rowOff>134040</xdr:rowOff>
    </xdr:to>
    <xdr:sp macro="" textlink="">
      <xdr:nvSpPr>
        <xdr:cNvPr id="2" name="NodeLegend">
          <a:extLst>
            <a:ext uri="{FF2B5EF4-FFF2-40B4-BE49-F238E27FC236}">
              <a16:creationId xmlns:a16="http://schemas.microsoft.com/office/drawing/2014/main" id="{A117AE11-1F79-13CA-6A62-6AD66A0BC555}"/>
            </a:ext>
          </a:extLst>
        </xdr:cNvPr>
        <xdr:cNvSpPr/>
      </xdr:nvSpPr>
      <xdr:spPr>
        <a:xfrm>
          <a:off x="1547261" y="740343"/>
          <a:ext cx="576000" cy="580813"/>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PH" sz="1100"/>
            <a:t>0</a:t>
          </a:r>
        </a:p>
      </xdr:txBody>
    </xdr:sp>
    <xdr:clientData/>
  </xdr:twoCellAnchor>
  <xdr:twoCellAnchor>
    <xdr:from>
      <xdr:col>2</xdr:col>
      <xdr:colOff>202620</xdr:colOff>
      <xdr:row>8</xdr:row>
      <xdr:rowOff>76200</xdr:rowOff>
    </xdr:from>
    <xdr:to>
      <xdr:col>3</xdr:col>
      <xdr:colOff>568380</xdr:colOff>
      <xdr:row>8</xdr:row>
      <xdr:rowOff>76200</xdr:rowOff>
    </xdr:to>
    <xdr:cxnSp macro="">
      <xdr:nvCxnSpPr>
        <xdr:cNvPr id="4" name="Straight Arrow Connector 3">
          <a:extLst>
            <a:ext uri="{FF2B5EF4-FFF2-40B4-BE49-F238E27FC236}">
              <a16:creationId xmlns:a16="http://schemas.microsoft.com/office/drawing/2014/main" id="{73541031-E905-0961-B3EE-78D5D65EEC6A}"/>
            </a:ext>
          </a:extLst>
        </xdr:cNvPr>
        <xdr:cNvCxnSpPr/>
      </xdr:nvCxnSpPr>
      <xdr:spPr>
        <a:xfrm>
          <a:off x="1421820" y="1623060"/>
          <a:ext cx="975360" cy="0"/>
        </a:xfrm>
        <a:prstGeom prst="straightConnector1">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2</xdr:col>
      <xdr:colOff>169020</xdr:colOff>
      <xdr:row>10</xdr:row>
      <xdr:rowOff>0</xdr:rowOff>
    </xdr:from>
    <xdr:to>
      <xdr:col>3</xdr:col>
      <xdr:colOff>534780</xdr:colOff>
      <xdr:row>15</xdr:row>
      <xdr:rowOff>0</xdr:rowOff>
    </xdr:to>
    <xdr:sp macro="" textlink="">
      <xdr:nvSpPr>
        <xdr:cNvPr id="6" name="TextBox 5">
          <a:extLst>
            <a:ext uri="{FF2B5EF4-FFF2-40B4-BE49-F238E27FC236}">
              <a16:creationId xmlns:a16="http://schemas.microsoft.com/office/drawing/2014/main" id="{661E269E-E7BF-915D-6099-C09C09DDE67F}"/>
            </a:ext>
          </a:extLst>
        </xdr:cNvPr>
        <xdr:cNvSpPr txBox="1"/>
      </xdr:nvSpPr>
      <xdr:spPr>
        <a:xfrm>
          <a:off x="1388220" y="1912620"/>
          <a:ext cx="975360"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1100"/>
            <a:t>Notes</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594360</xdr:colOff>
          <xdr:row>8</xdr:row>
          <xdr:rowOff>129540</xdr:rowOff>
        </xdr:from>
        <xdr:to>
          <xdr:col>6</xdr:col>
          <xdr:colOff>7620</xdr:colOff>
          <xdr:row>10</xdr:row>
          <xdr:rowOff>7620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PH" sz="1100" b="0" i="0" u="none" strike="noStrike" baseline="0">
                  <a:solidFill>
                    <a:srgbClr val="000000"/>
                  </a:solidFill>
                  <a:latin typeface="Calibri Light"/>
                  <a:cs typeface="Calibri Light"/>
                </a:rPr>
                <a:t>Create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22860</xdr:colOff>
          <xdr:row>14</xdr:row>
          <xdr:rowOff>129540</xdr:rowOff>
        </xdr:from>
        <xdr:to>
          <xdr:col>6</xdr:col>
          <xdr:colOff>45720</xdr:colOff>
          <xdr:row>16</xdr:row>
          <xdr:rowOff>7620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500-000002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PH" sz="1100" b="0" i="0" u="none" strike="noStrike" baseline="0">
                  <a:solidFill>
                    <a:srgbClr val="000000"/>
                  </a:solidFill>
                  <a:latin typeface="Calibri Light"/>
                  <a:cs typeface="Calibri Light"/>
                </a:rPr>
                <a:t>Connect</a:t>
              </a:r>
            </a:p>
          </xdr:txBody>
        </xdr:sp>
        <xdr:clientData fPrintsWithSheet="0"/>
      </xdr:twoCellAnchor>
    </mc:Choice>
    <mc:Fallback/>
  </mc:AlternateContent>
  <xdr:twoCellAnchor>
    <xdr:from>
      <xdr:col>7</xdr:col>
      <xdr:colOff>137886</xdr:colOff>
      <xdr:row>5</xdr:row>
      <xdr:rowOff>130629</xdr:rowOff>
    </xdr:from>
    <xdr:to>
      <xdr:col>8</xdr:col>
      <xdr:colOff>1030514</xdr:colOff>
      <xdr:row>11</xdr:row>
      <xdr:rowOff>174172</xdr:rowOff>
    </xdr:to>
    <xdr:sp macro="" textlink="">
      <xdr:nvSpPr>
        <xdr:cNvPr id="12" name="TextBox 11">
          <a:extLst>
            <a:ext uri="{FF2B5EF4-FFF2-40B4-BE49-F238E27FC236}">
              <a16:creationId xmlns:a16="http://schemas.microsoft.com/office/drawing/2014/main" id="{5A0D24DD-5A84-44DD-8DAE-3A84DC2CBD14}"/>
            </a:ext>
          </a:extLst>
        </xdr:cNvPr>
        <xdr:cNvSpPr txBox="1"/>
      </xdr:nvSpPr>
      <xdr:spPr>
        <a:xfrm>
          <a:off x="5225143" y="1037772"/>
          <a:ext cx="1502228" cy="1219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PH" sz="1100" b="1"/>
            <a:t>Nodes</a:t>
          </a:r>
          <a:r>
            <a:rPr lang="en-PH" sz="1100" b="1" baseline="0"/>
            <a:t> Created Here</a:t>
          </a:r>
          <a:endParaRPr lang="en-PH" sz="1100" b="1"/>
        </a:p>
      </xdr:txBody>
    </xdr:sp>
    <xdr:clientData/>
  </xdr:twoCellAnchor>
  <xdr:twoCellAnchor>
    <xdr:from>
      <xdr:col>12</xdr:col>
      <xdr:colOff>210457</xdr:colOff>
      <xdr:row>6</xdr:row>
      <xdr:rowOff>24674</xdr:rowOff>
    </xdr:from>
    <xdr:to>
      <xdr:col>13</xdr:col>
      <xdr:colOff>176857</xdr:colOff>
      <xdr:row>9</xdr:row>
      <xdr:rowOff>61200</xdr:rowOff>
    </xdr:to>
    <xdr:sp macro="[0]!NodeClick" textlink="">
      <xdr:nvSpPr>
        <xdr:cNvPr id="30" name="Node47">
          <a:extLst>
            <a:ext uri="{FF2B5EF4-FFF2-40B4-BE49-F238E27FC236}">
              <a16:creationId xmlns:a16="http://schemas.microsoft.com/office/drawing/2014/main" id="{C8F2A5DF-D5D4-4685-A912-17C98EE0480D}"/>
            </a:ext>
          </a:extLst>
        </xdr:cNvPr>
        <xdr:cNvSpPr/>
      </xdr:nvSpPr>
      <xdr:spPr>
        <a:xfrm>
          <a:off x="9144000" y="1200331"/>
          <a:ext cx="576000" cy="580812"/>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PH" sz="1100"/>
            <a:t>47</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8</xdr:col>
      <xdr:colOff>589722</xdr:colOff>
      <xdr:row>6</xdr:row>
      <xdr:rowOff>13252</xdr:rowOff>
    </xdr:from>
    <xdr:to>
      <xdr:col>13</xdr:col>
      <xdr:colOff>139148</xdr:colOff>
      <xdr:row>11</xdr:row>
      <xdr:rowOff>165652</xdr:rowOff>
    </xdr:to>
    <xdr:sp macro="" textlink="">
      <xdr:nvSpPr>
        <xdr:cNvPr id="2" name="TextBox 1">
          <a:extLst>
            <a:ext uri="{FF2B5EF4-FFF2-40B4-BE49-F238E27FC236}">
              <a16:creationId xmlns:a16="http://schemas.microsoft.com/office/drawing/2014/main" id="{39A4C835-129C-454F-BDE0-D12272664982}"/>
            </a:ext>
          </a:extLst>
        </xdr:cNvPr>
        <xdr:cNvSpPr txBox="1"/>
      </xdr:nvSpPr>
      <xdr:spPr>
        <a:xfrm>
          <a:off x="7295322" y="1205948"/>
          <a:ext cx="2597426" cy="10800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PH" sz="1100"/>
            <a:t>30%</a:t>
          </a:r>
          <a:r>
            <a:rPr lang="en-PH" sz="1100" baseline="0"/>
            <a:t> - Finish a material</a:t>
          </a:r>
        </a:p>
        <a:p>
          <a:pPr algn="ctr"/>
          <a:r>
            <a:rPr lang="en-PH" sz="1100" baseline="0"/>
            <a:t>20% - Exhause research resources</a:t>
          </a:r>
        </a:p>
        <a:p>
          <a:pPr algn="ctr"/>
          <a:r>
            <a:rPr lang="en-PH" sz="1100" baseline="0"/>
            <a:t>10% - Finish additional material</a:t>
          </a:r>
        </a:p>
        <a:p>
          <a:pPr algn="ctr"/>
          <a:r>
            <a:rPr lang="en-PH" sz="1100" baseline="0"/>
            <a:t>40% - Test knowledge base</a:t>
          </a:r>
        </a:p>
        <a:p>
          <a:pPr algn="ctr"/>
          <a:endParaRPr lang="en-PH" sz="1100"/>
        </a:p>
      </xdr:txBody>
    </xdr:sp>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 xr10:uid="{E4291ABD-2609-4C67-8F35-A14463601D16}" sourceName="Status">
  <extLst>
    <x:ext xmlns:x15="http://schemas.microsoft.com/office/spreadsheetml/2010/11/main" uri="{2F2917AC-EB37-4324-AD4E-5DD8C200BD13}">
      <x15:tableSlicerCache tableId="2" column="3"/>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ority" xr10:uid="{9451F773-794F-43C6-B0FD-94F5F22ED1FF}" sourceName="Priority">
  <extLst>
    <x:ext xmlns:x15="http://schemas.microsoft.com/office/spreadsheetml/2010/11/main" uri="{2F2917AC-EB37-4324-AD4E-5DD8C200BD13}">
      <x15:tableSlicerCache tableId="2" column="4"/>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us" xr10:uid="{8BC642E0-B9C7-4F84-9FBC-D54F9806F1A0}" cache="Slicer_Status" caption="Status" rowHeight="234950"/>
  <slicer name="Priority" xr10:uid="{30FC9008-893E-413B-B92B-23347BEF8BD4}" cache="Slicer_Priority" caption="Priority"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F6379AF-64DA-4876-8B89-C856EB710F92}" name="Table1" displayName="Table1" ref="J12:J17" totalsRowShown="0" headerRowDxfId="70" dataDxfId="68" headerRowBorderDxfId="69" tableBorderDxfId="67">
  <autoFilter ref="J12:J17" xr:uid="{FF6379AF-64DA-4876-8B89-C856EB710F92}"/>
  <tableColumns count="1">
    <tableColumn id="1" xr3:uid="{7938F6DC-33E2-4F6E-A1FB-45506015AC50}" name="station" dataDxfId="6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027A59C-01E5-4007-B5A8-7A43DDE49333}" name="Table2" displayName="Table2" ref="A3:E39" totalsRowShown="0">
  <autoFilter ref="A3:E39" xr:uid="{4027A59C-01E5-4007-B5A8-7A43DDE49333}"/>
  <tableColumns count="5">
    <tableColumn id="1" xr3:uid="{FB6CB894-E7D8-4EFD-AD03-B8540E5B1521}" name="Task ID"/>
    <tableColumn id="2" xr3:uid="{E3870FEF-B8C4-4BB5-8C3E-E89515D38843}" name="Task Name"/>
    <tableColumn id="3" xr3:uid="{48696D15-877E-413A-BA93-123744991477}" name="Status"/>
    <tableColumn id="4" xr3:uid="{0249517A-409B-4C84-B938-072228B793BC}" name="Priority" dataDxfId="50"/>
    <tableColumn id="5" xr3:uid="{512C19C3-5859-453D-9C4F-1736CA94442F}" name="Progress" dataDxfId="4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35DB444-A7A2-4B51-B3AA-D1ACD07B8880}" name="OOP_ConceptSkillTable" displayName="OOP_ConceptSkillTable" ref="J3:O19" headerRowDxfId="26">
  <tableColumns count="6">
    <tableColumn id="1" xr3:uid="{F2B1DD04-A7EB-41CF-BAD3-415223F56F5F}" name="Skill ID" totalsRowLabel="Total" dataDxfId="25" totalsRowDxfId="24"/>
    <tableColumn id="2" xr3:uid="{D1037A4B-1FEF-4D88-BD17-BD44D9EC0B9A}" name="Task Name" dataDxfId="23" totalsRowDxfId="22"/>
    <tableColumn id="3" xr3:uid="{F62AE451-4B4C-4A80-8F04-3D52CAFFF7D6}" name="Is Ready" dataDxfId="21" totalsRowDxfId="20"/>
    <tableColumn id="4" xr3:uid="{5A63D566-64C1-4206-A5C1-60269917DCD5}" name="Status" dataDxfId="19" totalsRowDxfId="18"/>
    <tableColumn id="5" xr3:uid="{DC590962-9B34-444F-9B8B-F5E83E886B68}" name="Estimation" dataDxfId="17" totalsRowDxfId="16"/>
    <tableColumn id="6" xr3:uid="{BBF7C6A0-5FC8-4C51-8AED-9E7177A403F6}" name="Progress" totalsRowFunction="sum" dataDxfId="15">
      <calculatedColumnFormula>_xlfn.XLOOKUP(J4, '4.A OOP Backlog'!C:C, '4.A OOP Backlog'!F:F, "Not Found")</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EF18819-C661-40DF-8ED5-DEF221E4EEA2}" name="OOP_PracticalSkillTable" displayName="OOP_PracticalSkillTable" ref="Q3:V27" totalsRowShown="0" headerRowDxfId="14">
  <tableColumns count="6">
    <tableColumn id="1" xr3:uid="{84213743-88BF-4BDD-8439-4D0CE767DDC1}" name="Skill ID" dataDxfId="13"/>
    <tableColumn id="2" xr3:uid="{A6DFCFF6-BB7D-4808-895F-6207286F2068}" name="Task Name" dataDxfId="12"/>
    <tableColumn id="3" xr3:uid="{D0753D0F-87FD-4963-A119-09E6E26D53DD}" name="Is Ready" dataDxfId="11"/>
    <tableColumn id="4" xr3:uid="{F0157E07-3B52-4F44-B312-C2D808EDE016}" name="Status" dataDxfId="10"/>
    <tableColumn id="5" xr3:uid="{49335565-50F4-4E9F-8E85-59E3833AD247}" name="Estimation" dataDxfId="9"/>
    <tableColumn id="6" xr3:uid="{2855BE56-968F-4AEF-8DFC-B154FF34E386}" name="Progress" dataDxfId="8">
      <calculatedColumnFormula>_xlfn.XLOOKUP(Q4, '4.A OOP Backlog'!C:C, '4.A OOP Backlog'!F:F, "Not Found")</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2EFBB50-CE9C-4FF9-B86C-2B08489D85CF}" name="Table3" displayName="Table3" ref="A15:C18" totalsRowShown="0">
  <autoFilter ref="A15:C18" xr:uid="{22EFBB50-CE9C-4FF9-B86C-2B08489D85CF}"/>
  <tableColumns count="3">
    <tableColumn id="1" xr3:uid="{670648A2-0FD6-493B-9561-7FC20D0C6A00}" name="List " dataDxfId="2"/>
    <tableColumn id="2" xr3:uid="{C07E52BD-E953-486B-9634-C1617B667513}" name="Count" dataDxfId="1"/>
    <tableColumn id="3" xr3:uid="{E2AFDB58-F390-4520-9E2F-1F0B88A9171E}" name="Progress" dataDxfId="0"/>
  </tableColumns>
  <tableStyleInfo name="TableStyleLight18" showFirstColumn="0" showLastColumn="0" showRowStripes="1" showColumnStripes="0"/>
</table>
</file>

<file path=xl/theme/theme1.xml><?xml version="1.0" encoding="utf-8"?>
<a:theme xmlns:a="http://schemas.openxmlformats.org/drawingml/2006/main" name="Metropolitan">
  <a:themeElements>
    <a:clrScheme name="Metropolitan">
      <a:dk1>
        <a:sysClr val="windowText" lastClr="000000"/>
      </a:dk1>
      <a:lt1>
        <a:sysClr val="window" lastClr="FFFFFF"/>
      </a:lt1>
      <a:dk2>
        <a:srgbClr val="162F33"/>
      </a:dk2>
      <a:lt2>
        <a:srgbClr val="EAF0E0"/>
      </a:lt2>
      <a:accent1>
        <a:srgbClr val="50B4C8"/>
      </a:accent1>
      <a:accent2>
        <a:srgbClr val="A8B97F"/>
      </a:accent2>
      <a:accent3>
        <a:srgbClr val="9B9256"/>
      </a:accent3>
      <a:accent4>
        <a:srgbClr val="657689"/>
      </a:accent4>
      <a:accent5>
        <a:srgbClr val="7A855D"/>
      </a:accent5>
      <a:accent6>
        <a:srgbClr val="84AC9D"/>
      </a:accent6>
      <a:hlink>
        <a:srgbClr val="2370CD"/>
      </a:hlink>
      <a:folHlink>
        <a:srgbClr val="877589"/>
      </a:folHlink>
    </a:clrScheme>
    <a:fontScheme name="Metropolitan">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inorFont>
    </a:fontScheme>
    <a:fmtScheme name="Metropolitan">
      <a:fillStyleLst>
        <a:solidFill>
          <a:schemeClr val="phClr"/>
        </a:solidFill>
        <a:gradFill rotWithShape="1">
          <a:gsLst>
            <a:gs pos="0">
              <a:schemeClr val="phClr">
                <a:tint val="70000"/>
                <a:satMod val="100000"/>
                <a:lumMod val="110000"/>
              </a:schemeClr>
            </a:gs>
            <a:gs pos="50000">
              <a:schemeClr val="phClr">
                <a:tint val="75000"/>
                <a:satMod val="101000"/>
                <a:lumMod val="105000"/>
              </a:schemeClr>
            </a:gs>
            <a:gs pos="100000">
              <a:schemeClr val="phClr">
                <a:tint val="82000"/>
                <a:satMod val="104000"/>
                <a:lumMod val="105000"/>
              </a:schemeClr>
            </a:gs>
          </a:gsLst>
          <a:lin ang="2700000" scaled="0"/>
        </a:gradFill>
        <a:gradFill rotWithShape="1">
          <a:gsLst>
            <a:gs pos="0">
              <a:schemeClr val="phClr">
                <a:tint val="97000"/>
                <a:satMod val="100000"/>
                <a:lumMod val="102000"/>
              </a:schemeClr>
            </a:gs>
            <a:gs pos="50000">
              <a:schemeClr val="phClr">
                <a:shade val="100000"/>
                <a:satMod val="100000"/>
                <a:lumMod val="100000"/>
              </a:schemeClr>
            </a:gs>
            <a:gs pos="100000">
              <a:schemeClr val="phClr">
                <a:shade val="80000"/>
                <a:satMod val="100000"/>
                <a:lumMod val="99000"/>
              </a:schemeClr>
            </a:gs>
          </a:gsLst>
          <a:lin ang="27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solidFill>
          <a:schemeClr val="phClr">
            <a:shade val="95000"/>
            <a:satMod val="170000"/>
          </a:schemeClr>
        </a:solidFill>
      </a:bgFillStyleLst>
    </a:fmtScheme>
  </a:themeElements>
  <a:objectDefaults/>
  <a:extraClrSchemeLst/>
  <a:extLst>
    <a:ext uri="{05A4C25C-085E-4340-85A3-A5531E510DB2}">
      <thm15:themeFamily xmlns:thm15="http://schemas.microsoft.com/office/thememl/2012/main" name="Metropolitan" id="{4C5440D6-04D2-4954-96CF-F251137069B2}" vid="{79CFCA13-9412-4290-BB4B-85112F88857B}"/>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microsoft.com/office/2007/relationships/slicer" Target="../slicers/slicer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drawing" Target="../drawings/drawing3.xml"/><Relationship Id="rId4" Type="http://schemas.openxmlformats.org/officeDocument/2006/relationships/table" Target="../tables/table5.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5.xml"/><Relationship Id="rId4" Type="http://schemas.openxmlformats.org/officeDocument/2006/relationships/ctrlProp" Target="../ctrlProps/ctrlProp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23842B-1F70-440F-8A21-823CC1F643C1}">
  <sheetPr codeName="Sheet1"/>
  <dimension ref="C2:J12"/>
  <sheetViews>
    <sheetView zoomScale="114" zoomScaleNormal="70" workbookViewId="0">
      <selection activeCell="G6" sqref="G6"/>
    </sheetView>
  </sheetViews>
  <sheetFormatPr defaultRowHeight="14.4" x14ac:dyDescent="0.3"/>
  <cols>
    <col min="1" max="2" width="8.88671875" style="10"/>
    <col min="3" max="3" width="43.88671875" style="10" bestFit="1" customWidth="1"/>
    <col min="4" max="4" width="16" style="10" bestFit="1" customWidth="1"/>
    <col min="5" max="5" width="13.77734375" style="10" customWidth="1"/>
    <col min="6" max="8" width="8.88671875" style="10"/>
    <col min="9" max="9" width="7.6640625" style="10" bestFit="1" customWidth="1"/>
    <col min="10" max="10" width="49.77734375" style="10" bestFit="1" customWidth="1"/>
    <col min="11" max="16384" width="8.88671875" style="10"/>
  </cols>
  <sheetData>
    <row r="2" spans="3:10" ht="21" x14ac:dyDescent="0.4">
      <c r="C2" s="21" t="s">
        <v>92</v>
      </c>
    </row>
    <row r="3" spans="3:10" ht="18" x14ac:dyDescent="0.35">
      <c r="C3" s="22" t="s">
        <v>1</v>
      </c>
      <c r="D3" s="14" t="s">
        <v>4</v>
      </c>
      <c r="E3" s="14" t="s">
        <v>5</v>
      </c>
      <c r="I3" s="13" t="s">
        <v>86</v>
      </c>
    </row>
    <row r="4" spans="3:10" x14ac:dyDescent="0.3">
      <c r="C4" s="10" t="s">
        <v>2</v>
      </c>
      <c r="D4" s="11" t="s">
        <v>7</v>
      </c>
      <c r="I4" s="14" t="s">
        <v>89</v>
      </c>
      <c r="J4" s="14" t="s">
        <v>88</v>
      </c>
    </row>
    <row r="5" spans="3:10" x14ac:dyDescent="0.3">
      <c r="C5" s="10" t="s">
        <v>3</v>
      </c>
      <c r="D5" s="11" t="s">
        <v>6</v>
      </c>
      <c r="I5" s="15" t="s">
        <v>87</v>
      </c>
      <c r="J5" s="16" t="s">
        <v>233</v>
      </c>
    </row>
    <row r="6" spans="3:10" x14ac:dyDescent="0.3">
      <c r="C6" s="10" t="s">
        <v>94</v>
      </c>
      <c r="D6" s="10" t="s">
        <v>6</v>
      </c>
      <c r="I6" s="17" t="s">
        <v>90</v>
      </c>
      <c r="J6" s="18" t="s">
        <v>230</v>
      </c>
    </row>
    <row r="7" spans="3:10" x14ac:dyDescent="0.3">
      <c r="C7" s="10" t="s">
        <v>150</v>
      </c>
      <c r="D7" s="10" t="s">
        <v>151</v>
      </c>
      <c r="I7" s="19" t="s">
        <v>91</v>
      </c>
      <c r="J7" s="20" t="s">
        <v>231</v>
      </c>
    </row>
    <row r="8" spans="3:10" x14ac:dyDescent="0.3">
      <c r="C8" s="10" t="s">
        <v>153</v>
      </c>
      <c r="D8" s="10" t="s">
        <v>7</v>
      </c>
    </row>
    <row r="9" spans="3:10" x14ac:dyDescent="0.3">
      <c r="C9" s="10" t="s">
        <v>179</v>
      </c>
      <c r="D9" s="10" t="s">
        <v>154</v>
      </c>
    </row>
    <row r="10" spans="3:10" x14ac:dyDescent="0.3">
      <c r="C10" s="10" t="s">
        <v>232</v>
      </c>
      <c r="D10" s="10" t="s">
        <v>6</v>
      </c>
    </row>
    <row r="11" spans="3:10" x14ac:dyDescent="0.3">
      <c r="C11" s="10" t="s">
        <v>231</v>
      </c>
      <c r="D11" s="10" t="s">
        <v>151</v>
      </c>
    </row>
    <row r="12" spans="3:10" x14ac:dyDescent="0.3">
      <c r="I12" s="10" t="s">
        <v>0</v>
      </c>
    </row>
  </sheetData>
  <conditionalFormatting sqref="D4:D1048576">
    <cfRule type="containsText" dxfId="84" priority="1" operator="containsText" text="blue">
      <formula>NOT(ISERROR(SEARCH("blue",D4)))</formula>
    </cfRule>
    <cfRule type="containsText" dxfId="83" priority="2" operator="containsText" text="orange">
      <formula>NOT(ISERROR(SEARCH("orange",D4)))</formula>
    </cfRule>
    <cfRule type="containsText" dxfId="82" priority="4" operator="containsText" text="green">
      <formula>NOT(ISERROR(SEARCH("green",D4)))</formula>
    </cfRule>
  </conditionalFormatting>
  <conditionalFormatting sqref="D4:E1048576">
    <cfRule type="containsText" dxfId="81" priority="3" operator="containsText" text="purple">
      <formula>NOT(ISERROR(SEARCH("purple",D4)))</formula>
    </cfRule>
  </conditionalFormatting>
  <dataValidations count="1">
    <dataValidation type="list" allowBlank="1" showInputMessage="1" showErrorMessage="1" sqref="J6" xr:uid="{4B47216B-F439-42F5-914C-F3CCD7383941}">
      <formula1>"information sheet, list sheet, graph sheet, backlog"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8" r:id="rId3" name="Button 4">
              <controlPr defaultSize="0" print="0" autoFill="0" autoPict="0" macro="[0]!Sheet_OnCreate">
                <anchor moveWithCells="1">
                  <from>
                    <xdr:col>8</xdr:col>
                    <xdr:colOff>0</xdr:colOff>
                    <xdr:row>8</xdr:row>
                    <xdr:rowOff>22860</xdr:rowOff>
                  </from>
                  <to>
                    <xdr:col>9</xdr:col>
                    <xdr:colOff>419100</xdr:colOff>
                    <xdr:row>9</xdr:row>
                    <xdr:rowOff>99060</xdr:rowOff>
                  </to>
                </anchor>
              </controlPr>
            </control>
          </mc:Choice>
        </mc:AlternateContent>
        <mc:AlternateContent xmlns:mc="http://schemas.openxmlformats.org/markup-compatibility/2006">
          <mc:Choice Requires="x14">
            <control shapeId="1036" r:id="rId4" name="Button 12">
              <controlPr defaultSize="0" print="0" autoFill="0" autoPict="0" macro="[0]!Clear_Table">
                <anchor moveWithCells="1">
                  <from>
                    <xdr:col>9</xdr:col>
                    <xdr:colOff>533400</xdr:colOff>
                    <xdr:row>8</xdr:row>
                    <xdr:rowOff>22860</xdr:rowOff>
                  </from>
                  <to>
                    <xdr:col>9</xdr:col>
                    <xdr:colOff>1478280</xdr:colOff>
                    <xdr:row>9</xdr:row>
                    <xdr:rowOff>106680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9FE82-E4F7-4535-A8EE-55D00E564259}">
  <sheetPr codeName="Sheet2">
    <tabColor rgb="FF0CE64A"/>
  </sheetPr>
  <dimension ref="B3:J16"/>
  <sheetViews>
    <sheetView workbookViewId="0"/>
  </sheetViews>
  <sheetFormatPr defaultRowHeight="14.4" x14ac:dyDescent="0.3"/>
  <cols>
    <col min="1" max="1" width="8.88671875" style="1"/>
    <col min="2" max="2" width="13.5546875" style="1" customWidth="1"/>
    <col min="3" max="3" width="55.21875" style="1" customWidth="1"/>
    <col min="4" max="4" width="7.77734375" style="1" customWidth="1"/>
    <col min="5" max="5" width="8.88671875" style="1"/>
    <col min="6" max="6" width="17.77734375" style="1" customWidth="1"/>
    <col min="7" max="7" width="55.21875" style="1" customWidth="1"/>
    <col min="8" max="8" width="11.33203125" style="1" bestFit="1" customWidth="1"/>
    <col min="9" max="9" width="8.88671875" style="1"/>
    <col min="10" max="10" width="9.77734375" style="1" customWidth="1"/>
    <col min="11" max="16384" width="8.88671875" style="1"/>
  </cols>
  <sheetData>
    <row r="3" spans="2:10" ht="18" x14ac:dyDescent="0.35">
      <c r="B3" s="2" t="s">
        <v>8</v>
      </c>
      <c r="F3" s="2" t="s">
        <v>25</v>
      </c>
    </row>
    <row r="4" spans="2:10" x14ac:dyDescent="0.3">
      <c r="B4" s="4" t="s">
        <v>9</v>
      </c>
      <c r="C4" s="5" t="s">
        <v>10</v>
      </c>
      <c r="D4" s="6" t="s">
        <v>11</v>
      </c>
      <c r="F4" s="4" t="s">
        <v>9</v>
      </c>
      <c r="G4" s="5" t="s">
        <v>10</v>
      </c>
      <c r="H4" s="6" t="s">
        <v>11</v>
      </c>
    </row>
    <row r="5" spans="2:10" ht="43.2" x14ac:dyDescent="0.3">
      <c r="B5" s="1" t="s">
        <v>12</v>
      </c>
      <c r="C5" s="1" t="s">
        <v>20</v>
      </c>
      <c r="D5" s="3" t="s">
        <v>12</v>
      </c>
      <c r="F5" s="5" t="s">
        <v>50</v>
      </c>
      <c r="G5" s="8" t="s">
        <v>41</v>
      </c>
      <c r="H5" s="3" t="s">
        <v>50</v>
      </c>
    </row>
    <row r="6" spans="2:10" ht="43.2" x14ac:dyDescent="0.3">
      <c r="B6" s="1" t="s">
        <v>14</v>
      </c>
      <c r="C6" s="1" t="s">
        <v>19</v>
      </c>
      <c r="D6" s="1" t="s">
        <v>14</v>
      </c>
      <c r="F6" s="5" t="s">
        <v>14</v>
      </c>
      <c r="G6" s="8" t="s">
        <v>40</v>
      </c>
      <c r="H6" s="1" t="s">
        <v>14</v>
      </c>
    </row>
    <row r="7" spans="2:10" ht="86.4" x14ac:dyDescent="0.3">
      <c r="B7" s="1" t="s">
        <v>13</v>
      </c>
      <c r="C7" s="1" t="s">
        <v>21</v>
      </c>
      <c r="D7" s="1" t="s">
        <v>13</v>
      </c>
      <c r="F7" s="5" t="s">
        <v>51</v>
      </c>
      <c r="G7" s="8" t="s">
        <v>39</v>
      </c>
      <c r="H7" s="1" t="s">
        <v>51</v>
      </c>
    </row>
    <row r="8" spans="2:10" ht="43.2" x14ac:dyDescent="0.3">
      <c r="B8" s="1" t="s">
        <v>15</v>
      </c>
      <c r="C8" s="1" t="s">
        <v>22</v>
      </c>
      <c r="D8" s="1" t="s">
        <v>15</v>
      </c>
      <c r="F8" s="8" t="s">
        <v>51</v>
      </c>
      <c r="G8" s="8" t="s">
        <v>53</v>
      </c>
      <c r="H8" s="7" t="s">
        <v>52</v>
      </c>
    </row>
    <row r="9" spans="2:10" ht="18" x14ac:dyDescent="0.35">
      <c r="B9" s="1" t="s">
        <v>16</v>
      </c>
      <c r="C9" s="1" t="s">
        <v>23</v>
      </c>
      <c r="D9" s="1" t="s">
        <v>16</v>
      </c>
      <c r="F9" s="2"/>
    </row>
    <row r="10" spans="2:10" ht="18" x14ac:dyDescent="0.35">
      <c r="F10" s="2" t="s">
        <v>26</v>
      </c>
      <c r="J10" s="2" t="s">
        <v>42</v>
      </c>
    </row>
    <row r="11" spans="2:10" x14ac:dyDescent="0.3">
      <c r="B11" s="4" t="s">
        <v>18</v>
      </c>
      <c r="C11" s="5" t="s">
        <v>10</v>
      </c>
      <c r="D11" s="6" t="s">
        <v>11</v>
      </c>
      <c r="F11" s="4" t="s">
        <v>27</v>
      </c>
      <c r="G11" s="6" t="s">
        <v>10</v>
      </c>
      <c r="J11" s="9" t="s">
        <v>27</v>
      </c>
    </row>
    <row r="12" spans="2:10" x14ac:dyDescent="0.3">
      <c r="B12" s="1" t="s">
        <v>17</v>
      </c>
      <c r="C12" s="1" t="s">
        <v>24</v>
      </c>
      <c r="D12" s="3" t="s">
        <v>17</v>
      </c>
      <c r="F12" s="1" t="s">
        <v>30</v>
      </c>
      <c r="G12" s="1" t="s">
        <v>31</v>
      </c>
      <c r="J12" s="1" t="s">
        <v>45</v>
      </c>
    </row>
    <row r="13" spans="2:10" x14ac:dyDescent="0.3">
      <c r="F13" s="1" t="s">
        <v>28</v>
      </c>
      <c r="G13" s="1" t="s">
        <v>29</v>
      </c>
      <c r="J13" s="1" t="s">
        <v>43</v>
      </c>
    </row>
    <row r="14" spans="2:10" x14ac:dyDescent="0.3">
      <c r="F14" s="1" t="s">
        <v>32</v>
      </c>
      <c r="G14" s="1" t="s">
        <v>33</v>
      </c>
      <c r="J14" s="1" t="s">
        <v>44</v>
      </c>
    </row>
    <row r="15" spans="2:10" x14ac:dyDescent="0.3">
      <c r="F15" s="1" t="s">
        <v>34</v>
      </c>
      <c r="G15" s="1" t="s">
        <v>35</v>
      </c>
      <c r="J15" s="1" t="s">
        <v>47</v>
      </c>
    </row>
    <row r="16" spans="2:10" x14ac:dyDescent="0.3">
      <c r="J16" s="1" t="s">
        <v>46</v>
      </c>
    </row>
  </sheetData>
  <conditionalFormatting sqref="D1:D10 D12:D1048576">
    <cfRule type="containsText" dxfId="80" priority="7" operator="containsText" text="insane">
      <formula>NOT(ISERROR(SEARCH("insane",D1)))</formula>
    </cfRule>
    <cfRule type="containsText" dxfId="79" priority="8" operator="containsText" text="extreme">
      <formula>NOT(ISERROR(SEARCH("extreme",D1)))</formula>
    </cfRule>
    <cfRule type="containsText" dxfId="78" priority="9" operator="containsText" text="medium">
      <formula>NOT(ISERROR(SEARCH("medium",D1)))</formula>
    </cfRule>
    <cfRule type="containsText" dxfId="77" priority="10" operator="containsText" text="advance">
      <formula>NOT(ISERROR(SEARCH("advance",D1)))</formula>
    </cfRule>
    <cfRule type="containsText" dxfId="76" priority="11" operator="containsText" text="high">
      <formula>NOT(ISERROR(SEARCH("high",D1)))</formula>
    </cfRule>
    <cfRule type="containsText" dxfId="75" priority="12" operator="containsText" text="low">
      <formula>NOT(ISERROR(SEARCH("low",D1)))</formula>
    </cfRule>
  </conditionalFormatting>
  <conditionalFormatting sqref="H5:H8">
    <cfRule type="containsText" dxfId="74" priority="2" operator="containsText" text="mastery">
      <formula>NOT(ISERROR(SEARCH("mastery",H5)))</formula>
    </cfRule>
    <cfRule type="containsText" dxfId="73" priority="3" operator="containsText" text="intermediate">
      <formula>NOT(ISERROR(SEARCH("intermediate",H5)))</formula>
    </cfRule>
    <cfRule type="containsText" dxfId="72" priority="4" operator="containsText" text="advance">
      <formula>NOT(ISERROR(SEARCH("advance",H5)))</formula>
    </cfRule>
    <cfRule type="containsText" dxfId="71" priority="6" operator="containsText" text="amatuer">
      <formula>NOT(ISERROR(SEARCH("amatuer",H5)))</formula>
    </cfRule>
  </conditionalFormatting>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03512B-FF83-471E-8B5F-7926948E578B}">
  <sheetPr codeName="Sheet3">
    <tabColor rgb="FFFF8F43"/>
  </sheetPr>
  <dimension ref="A1:E39"/>
  <sheetViews>
    <sheetView zoomScale="137" zoomScaleNormal="70" workbookViewId="0">
      <selection activeCell="D25" sqref="D25"/>
    </sheetView>
  </sheetViews>
  <sheetFormatPr defaultRowHeight="14.4" x14ac:dyDescent="0.3"/>
  <cols>
    <col min="1" max="1" width="12.5546875" customWidth="1"/>
    <col min="2" max="2" width="33.88671875" bestFit="1" customWidth="1"/>
    <col min="3" max="3" width="10.109375" bestFit="1" customWidth="1"/>
    <col min="4" max="4" width="9.88671875" bestFit="1" customWidth="1"/>
    <col min="5" max="5" width="10.88671875" bestFit="1" customWidth="1"/>
  </cols>
  <sheetData>
    <row r="1" spans="1:5" x14ac:dyDescent="0.3">
      <c r="A1" s="12"/>
      <c r="B1" s="12"/>
      <c r="C1" s="12"/>
      <c r="D1" s="12"/>
      <c r="E1" s="12"/>
    </row>
    <row r="2" spans="1:5" ht="21" x14ac:dyDescent="0.4">
      <c r="A2" s="23" t="s">
        <v>93</v>
      </c>
      <c r="B2" s="12"/>
      <c r="C2" s="12"/>
      <c r="D2" s="12"/>
      <c r="E2" s="12"/>
    </row>
    <row r="3" spans="1:5" x14ac:dyDescent="0.3">
      <c r="A3" t="s">
        <v>36</v>
      </c>
      <c r="B3" t="s">
        <v>37</v>
      </c>
      <c r="C3" t="s">
        <v>27</v>
      </c>
      <c r="D3" t="s">
        <v>9</v>
      </c>
      <c r="E3" t="s">
        <v>38</v>
      </c>
    </row>
    <row r="4" spans="1:5" x14ac:dyDescent="0.3">
      <c r="A4">
        <v>0</v>
      </c>
      <c r="B4" t="s">
        <v>48</v>
      </c>
      <c r="C4" t="s">
        <v>49</v>
      </c>
      <c r="D4" s="1" t="s">
        <v>13</v>
      </c>
      <c r="E4" s="40">
        <v>0</v>
      </c>
    </row>
    <row r="5" spans="1:5" x14ac:dyDescent="0.3">
      <c r="A5">
        <v>1</v>
      </c>
      <c r="B5" t="s">
        <v>54</v>
      </c>
      <c r="C5" t="s">
        <v>49</v>
      </c>
      <c r="D5" s="3" t="s">
        <v>12</v>
      </c>
      <c r="E5" s="40">
        <v>0</v>
      </c>
    </row>
    <row r="6" spans="1:5" x14ac:dyDescent="0.3">
      <c r="A6">
        <v>2</v>
      </c>
      <c r="B6" t="s">
        <v>55</v>
      </c>
      <c r="C6" t="s">
        <v>49</v>
      </c>
      <c r="D6" s="1" t="s">
        <v>13</v>
      </c>
      <c r="E6" s="40">
        <v>0</v>
      </c>
    </row>
    <row r="7" spans="1:5" x14ac:dyDescent="0.3">
      <c r="A7">
        <v>3</v>
      </c>
      <c r="B7" t="s">
        <v>57</v>
      </c>
      <c r="C7" t="s">
        <v>49</v>
      </c>
      <c r="D7" s="3" t="s">
        <v>12</v>
      </c>
      <c r="E7" s="40">
        <v>0</v>
      </c>
    </row>
    <row r="8" spans="1:5" x14ac:dyDescent="0.3">
      <c r="A8">
        <v>4</v>
      </c>
      <c r="B8" t="s">
        <v>56</v>
      </c>
      <c r="C8" t="s">
        <v>49</v>
      </c>
      <c r="D8" s="1" t="s">
        <v>15</v>
      </c>
      <c r="E8" s="40">
        <v>0</v>
      </c>
    </row>
    <row r="9" spans="1:5" x14ac:dyDescent="0.3">
      <c r="A9">
        <v>5</v>
      </c>
      <c r="B9" t="s">
        <v>58</v>
      </c>
      <c r="C9" t="s">
        <v>49</v>
      </c>
      <c r="D9" s="1" t="s">
        <v>13</v>
      </c>
      <c r="E9" s="40">
        <v>0</v>
      </c>
    </row>
    <row r="10" spans="1:5" x14ac:dyDescent="0.3">
      <c r="A10">
        <v>6</v>
      </c>
      <c r="B10" t="s">
        <v>59</v>
      </c>
      <c r="C10" t="s">
        <v>49</v>
      </c>
      <c r="D10" s="3" t="s">
        <v>12</v>
      </c>
      <c r="E10" s="40">
        <v>0</v>
      </c>
    </row>
    <row r="11" spans="1:5" x14ac:dyDescent="0.3">
      <c r="A11">
        <v>7</v>
      </c>
      <c r="B11" t="s">
        <v>60</v>
      </c>
      <c r="C11" t="s">
        <v>103</v>
      </c>
      <c r="D11" s="3" t="s">
        <v>12</v>
      </c>
      <c r="E11" s="40">
        <f>'2.B OOP Skillset List'!C18</f>
        <v>11.25</v>
      </c>
    </row>
    <row r="12" spans="1:5" x14ac:dyDescent="0.3">
      <c r="A12">
        <v>8</v>
      </c>
      <c r="B12" t="s">
        <v>61</v>
      </c>
      <c r="C12" t="s">
        <v>49</v>
      </c>
      <c r="D12" s="1" t="s">
        <v>15</v>
      </c>
      <c r="E12" s="40">
        <v>0</v>
      </c>
    </row>
    <row r="13" spans="1:5" x14ac:dyDescent="0.3">
      <c r="A13">
        <v>9</v>
      </c>
      <c r="B13" t="s">
        <v>62</v>
      </c>
      <c r="C13" t="s">
        <v>49</v>
      </c>
      <c r="D13" s="1" t="s">
        <v>16</v>
      </c>
      <c r="E13" s="40">
        <v>0</v>
      </c>
    </row>
    <row r="14" spans="1:5" x14ac:dyDescent="0.3">
      <c r="A14">
        <v>10</v>
      </c>
      <c r="B14" t="s">
        <v>63</v>
      </c>
      <c r="C14" t="s">
        <v>49</v>
      </c>
      <c r="D14" s="1" t="s">
        <v>15</v>
      </c>
      <c r="E14" s="40">
        <v>0</v>
      </c>
    </row>
    <row r="15" spans="1:5" x14ac:dyDescent="0.3">
      <c r="A15">
        <v>11</v>
      </c>
      <c r="B15" t="s">
        <v>64</v>
      </c>
      <c r="C15" t="s">
        <v>49</v>
      </c>
      <c r="D15" s="3" t="s">
        <v>12</v>
      </c>
      <c r="E15" s="40">
        <v>0</v>
      </c>
    </row>
    <row r="16" spans="1:5" x14ac:dyDescent="0.3">
      <c r="A16">
        <v>12</v>
      </c>
      <c r="B16" t="s">
        <v>65</v>
      </c>
      <c r="C16" t="s">
        <v>49</v>
      </c>
      <c r="D16" s="3" t="s">
        <v>12</v>
      </c>
      <c r="E16" s="40">
        <v>0</v>
      </c>
    </row>
    <row r="17" spans="1:5" x14ac:dyDescent="0.3">
      <c r="A17">
        <v>13</v>
      </c>
      <c r="B17" t="s">
        <v>66</v>
      </c>
      <c r="C17" t="s">
        <v>49</v>
      </c>
      <c r="D17" s="1" t="s">
        <v>13</v>
      </c>
      <c r="E17" s="40">
        <v>0</v>
      </c>
    </row>
    <row r="18" spans="1:5" x14ac:dyDescent="0.3">
      <c r="A18">
        <v>14</v>
      </c>
      <c r="B18" t="s">
        <v>67</v>
      </c>
      <c r="C18" t="s">
        <v>49</v>
      </c>
      <c r="D18" s="3" t="s">
        <v>12</v>
      </c>
      <c r="E18" s="40">
        <v>0</v>
      </c>
    </row>
    <row r="19" spans="1:5" x14ac:dyDescent="0.3">
      <c r="A19">
        <v>15</v>
      </c>
      <c r="B19" t="s">
        <v>68</v>
      </c>
      <c r="C19" t="s">
        <v>49</v>
      </c>
      <c r="D19" s="3" t="s">
        <v>12</v>
      </c>
      <c r="E19" s="40">
        <v>0</v>
      </c>
    </row>
    <row r="20" spans="1:5" x14ac:dyDescent="0.3">
      <c r="A20">
        <v>16</v>
      </c>
      <c r="B20" t="s">
        <v>69</v>
      </c>
      <c r="C20" t="s">
        <v>49</v>
      </c>
      <c r="D20" s="1" t="s">
        <v>16</v>
      </c>
      <c r="E20" s="40">
        <v>0</v>
      </c>
    </row>
    <row r="21" spans="1:5" x14ac:dyDescent="0.3">
      <c r="A21">
        <v>17</v>
      </c>
      <c r="B21" t="s">
        <v>70</v>
      </c>
      <c r="C21" t="s">
        <v>49</v>
      </c>
      <c r="D21" s="1" t="s">
        <v>13</v>
      </c>
      <c r="E21" s="40">
        <v>0</v>
      </c>
    </row>
    <row r="22" spans="1:5" x14ac:dyDescent="0.3">
      <c r="A22">
        <v>18</v>
      </c>
      <c r="B22" t="s">
        <v>71</v>
      </c>
      <c r="C22" t="s">
        <v>49</v>
      </c>
      <c r="D22" s="3" t="s">
        <v>12</v>
      </c>
      <c r="E22" s="40">
        <v>0</v>
      </c>
    </row>
    <row r="23" spans="1:5" x14ac:dyDescent="0.3">
      <c r="A23">
        <v>19</v>
      </c>
      <c r="B23" t="s">
        <v>73</v>
      </c>
      <c r="C23" t="s">
        <v>49</v>
      </c>
      <c r="D23" s="1" t="s">
        <v>13</v>
      </c>
      <c r="E23" s="40">
        <v>0</v>
      </c>
    </row>
    <row r="24" spans="1:5" x14ac:dyDescent="0.3">
      <c r="A24">
        <v>20</v>
      </c>
      <c r="B24" t="s">
        <v>72</v>
      </c>
      <c r="C24" t="s">
        <v>49</v>
      </c>
      <c r="D24" s="3" t="s">
        <v>12</v>
      </c>
      <c r="E24" s="40">
        <v>0</v>
      </c>
    </row>
    <row r="25" spans="1:5" x14ac:dyDescent="0.3">
      <c r="A25">
        <v>21</v>
      </c>
      <c r="B25" t="s">
        <v>74</v>
      </c>
      <c r="C25" t="s">
        <v>49</v>
      </c>
      <c r="D25" s="1" t="s">
        <v>13</v>
      </c>
      <c r="E25" s="40">
        <v>0</v>
      </c>
    </row>
    <row r="26" spans="1:5" x14ac:dyDescent="0.3">
      <c r="A26">
        <v>22</v>
      </c>
      <c r="B26" t="s">
        <v>75</v>
      </c>
      <c r="C26" t="s">
        <v>49</v>
      </c>
      <c r="D26" s="1" t="s">
        <v>16</v>
      </c>
      <c r="E26" s="40">
        <v>0</v>
      </c>
    </row>
    <row r="27" spans="1:5" x14ac:dyDescent="0.3">
      <c r="A27">
        <v>23</v>
      </c>
      <c r="B27" t="s">
        <v>76</v>
      </c>
      <c r="C27" t="s">
        <v>49</v>
      </c>
      <c r="D27" s="1" t="s">
        <v>15</v>
      </c>
      <c r="E27" s="40">
        <v>0</v>
      </c>
    </row>
    <row r="28" spans="1:5" x14ac:dyDescent="0.3">
      <c r="A28">
        <v>24</v>
      </c>
      <c r="B28" t="s">
        <v>77</v>
      </c>
      <c r="C28" t="s">
        <v>49</v>
      </c>
      <c r="D28" s="1" t="s">
        <v>13</v>
      </c>
      <c r="E28" s="40">
        <v>0</v>
      </c>
    </row>
    <row r="29" spans="1:5" x14ac:dyDescent="0.3">
      <c r="A29">
        <v>25</v>
      </c>
      <c r="B29" t="s">
        <v>78</v>
      </c>
      <c r="C29" t="s">
        <v>49</v>
      </c>
      <c r="D29" s="3" t="s">
        <v>12</v>
      </c>
      <c r="E29" s="40">
        <v>0</v>
      </c>
    </row>
    <row r="30" spans="1:5" x14ac:dyDescent="0.3">
      <c r="A30">
        <v>26</v>
      </c>
      <c r="B30" t="s">
        <v>79</v>
      </c>
      <c r="C30" t="s">
        <v>49</v>
      </c>
      <c r="D30" s="3" t="s">
        <v>17</v>
      </c>
      <c r="E30" s="40">
        <v>0</v>
      </c>
    </row>
    <row r="31" spans="1:5" x14ac:dyDescent="0.3">
      <c r="A31">
        <v>27</v>
      </c>
      <c r="B31" t="s">
        <v>80</v>
      </c>
      <c r="C31" t="s">
        <v>49</v>
      </c>
      <c r="D31" s="1" t="s">
        <v>16</v>
      </c>
      <c r="E31" s="40">
        <v>0</v>
      </c>
    </row>
    <row r="32" spans="1:5" x14ac:dyDescent="0.3">
      <c r="A32">
        <v>28</v>
      </c>
      <c r="B32" t="s">
        <v>81</v>
      </c>
      <c r="C32" t="s">
        <v>49</v>
      </c>
      <c r="D32" s="1" t="s">
        <v>16</v>
      </c>
      <c r="E32" s="40">
        <v>0</v>
      </c>
    </row>
    <row r="33" spans="1:5" x14ac:dyDescent="0.3">
      <c r="A33">
        <v>29</v>
      </c>
      <c r="B33" t="s">
        <v>82</v>
      </c>
      <c r="C33" t="s">
        <v>49</v>
      </c>
      <c r="D33" s="1" t="s">
        <v>13</v>
      </c>
      <c r="E33" s="40">
        <v>0</v>
      </c>
    </row>
    <row r="34" spans="1:5" x14ac:dyDescent="0.3">
      <c r="A34">
        <v>30</v>
      </c>
      <c r="B34" t="s">
        <v>83</v>
      </c>
      <c r="C34" t="s">
        <v>49</v>
      </c>
      <c r="D34" s="1" t="s">
        <v>15</v>
      </c>
      <c r="E34" s="40">
        <v>0</v>
      </c>
    </row>
    <row r="35" spans="1:5" x14ac:dyDescent="0.3">
      <c r="A35">
        <v>31</v>
      </c>
      <c r="B35" t="s">
        <v>84</v>
      </c>
      <c r="C35" t="s">
        <v>49</v>
      </c>
      <c r="D35" s="1" t="s">
        <v>13</v>
      </c>
      <c r="E35" s="40">
        <v>0</v>
      </c>
    </row>
    <row r="36" spans="1:5" x14ac:dyDescent="0.3">
      <c r="A36">
        <v>32</v>
      </c>
      <c r="B36" t="s">
        <v>85</v>
      </c>
      <c r="C36" t="s">
        <v>49</v>
      </c>
      <c r="D36" s="3" t="s">
        <v>12</v>
      </c>
      <c r="E36" s="40">
        <v>0</v>
      </c>
    </row>
    <row r="37" spans="1:5" x14ac:dyDescent="0.3">
      <c r="A37">
        <v>33</v>
      </c>
      <c r="B37" t="s">
        <v>221</v>
      </c>
      <c r="C37" t="s">
        <v>45</v>
      </c>
      <c r="D37" s="3" t="s">
        <v>12</v>
      </c>
      <c r="E37" s="40">
        <v>0</v>
      </c>
    </row>
    <row r="38" spans="1:5" x14ac:dyDescent="0.3">
      <c r="A38">
        <v>34</v>
      </c>
      <c r="B38" t="s">
        <v>222</v>
      </c>
      <c r="C38" t="s">
        <v>45</v>
      </c>
      <c r="D38" s="3" t="s">
        <v>12</v>
      </c>
      <c r="E38" s="40">
        <v>0</v>
      </c>
    </row>
    <row r="39" spans="1:5" x14ac:dyDescent="0.3">
      <c r="A39">
        <v>35</v>
      </c>
      <c r="B39" t="s">
        <v>223</v>
      </c>
      <c r="C39" t="s">
        <v>45</v>
      </c>
      <c r="D39" s="3" t="s">
        <v>12</v>
      </c>
      <c r="E39" s="40">
        <v>0</v>
      </c>
    </row>
  </sheetData>
  <dataConsolidate/>
  <conditionalFormatting sqref="E4:E39">
    <cfRule type="cellIs" dxfId="65" priority="11" operator="greaterThan">
      <formula>80</formula>
    </cfRule>
    <cfRule type="cellIs" dxfId="64" priority="12" operator="between">
      <formula>61</formula>
      <formula>80</formula>
    </cfRule>
    <cfRule type="cellIs" dxfId="63" priority="13" operator="between">
      <formula>31</formula>
      <formula>60</formula>
    </cfRule>
    <cfRule type="cellIs" dxfId="62" priority="14" operator="between">
      <formula>11</formula>
      <formula>30</formula>
    </cfRule>
    <cfRule type="cellIs" dxfId="61" priority="15" operator="between">
      <formula>0</formula>
      <formula>10</formula>
    </cfRule>
  </conditionalFormatting>
  <conditionalFormatting sqref="C4:C39">
    <cfRule type="containsText" dxfId="60" priority="7" operator="containsText" text="moved">
      <formula>NOT(ISERROR(SEARCH("moved",C4)))</formula>
    </cfRule>
    <cfRule type="containsText" dxfId="59" priority="8" operator="containsText" text="finish">
      <formula>NOT(ISERROR(SEARCH("finish",C4)))</formula>
    </cfRule>
    <cfRule type="containsText" dxfId="58" priority="9" operator="containsText" text="in-progress">
      <formula>NOT(ISERROR(SEARCH("in-progress",C4)))</formula>
    </cfRule>
    <cfRule type="containsText" dxfId="57" priority="10" operator="containsText" text="idle">
      <formula>NOT(ISERROR(SEARCH("idle",C4)))</formula>
    </cfRule>
  </conditionalFormatting>
  <conditionalFormatting sqref="D4:D39">
    <cfRule type="containsText" dxfId="56" priority="1" operator="containsText" text="insane">
      <formula>NOT(ISERROR(SEARCH("insane",D4)))</formula>
    </cfRule>
    <cfRule type="containsText" dxfId="55" priority="2" operator="containsText" text="extreme">
      <formula>NOT(ISERROR(SEARCH("extreme",D4)))</formula>
    </cfRule>
    <cfRule type="containsText" dxfId="54" priority="3" operator="containsText" text="medium">
      <formula>NOT(ISERROR(SEARCH("medium",D4)))</formula>
    </cfRule>
    <cfRule type="containsText" dxfId="53" priority="4" operator="containsText" text="advance">
      <formula>NOT(ISERROR(SEARCH("advance",D4)))</formula>
    </cfRule>
    <cfRule type="containsText" dxfId="52" priority="5" operator="containsText" text="high">
      <formula>NOT(ISERROR(SEARCH("high",D4)))</formula>
    </cfRule>
    <cfRule type="containsText" dxfId="51" priority="6" operator="containsText" text="low">
      <formula>NOT(ISERROR(SEARCH("low",D4)))</formula>
    </cfRule>
  </conditionalFormatting>
  <dataValidations count="1">
    <dataValidation type="list" allowBlank="1" showInputMessage="1" showErrorMessage="1" prompt="station" sqref="C4:C39" xr:uid="{672505BE-F482-4F20-B8FA-EFCAB8831538}">
      <formula1>"station, in-progress, idle, finished, moved"</formula1>
    </dataValidation>
  </dataValidations>
  <pageMargins left="0.7" right="0.7" top="0.75" bottom="0.75" header="0.3" footer="0.3"/>
  <pageSetup paperSize="9" orientation="portrait" r:id="rId1"/>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FC8F29-0DE4-40D9-B675-8961983F94AF}">
  <sheetPr codeName="Sheet24">
    <tabColor rgb="FFFF9343"/>
  </sheetPr>
  <dimension ref="A2:V27"/>
  <sheetViews>
    <sheetView topLeftCell="A8" zoomScale="126" zoomScaleNormal="100" workbookViewId="0">
      <selection activeCell="C18" sqref="C18"/>
    </sheetView>
  </sheetViews>
  <sheetFormatPr defaultRowHeight="14.4" x14ac:dyDescent="0.3"/>
  <cols>
    <col min="1" max="1" width="10" style="10" bestFit="1" customWidth="1"/>
    <col min="2" max="2" width="13.109375" style="10" bestFit="1" customWidth="1"/>
    <col min="3" max="3" width="10" style="10" customWidth="1"/>
    <col min="4" max="9" width="8.88671875" style="10"/>
    <col min="10" max="10" width="11.21875" style="10" customWidth="1"/>
    <col min="11" max="11" width="42.88671875" style="10" customWidth="1"/>
    <col min="12" max="12" width="9" style="10" customWidth="1"/>
    <col min="13" max="13" width="12.88671875" style="10" customWidth="1"/>
    <col min="14" max="14" width="12.44140625" style="10" customWidth="1"/>
    <col min="15" max="15" width="10.5546875" style="10" customWidth="1"/>
    <col min="16" max="16" width="8.88671875" style="10"/>
    <col min="17" max="17" width="9" style="10" customWidth="1"/>
    <col min="18" max="18" width="39.5546875" style="10" customWidth="1"/>
    <col min="19" max="19" width="10.33203125" style="10" customWidth="1"/>
    <col min="20" max="20" width="16.6640625" style="10" customWidth="1"/>
    <col min="21" max="21" width="14" style="10" customWidth="1"/>
    <col min="22" max="22" width="10.5546875" style="10" customWidth="1"/>
    <col min="23" max="16384" width="8.88671875" style="10"/>
  </cols>
  <sheetData>
    <row r="2" spans="1:22" ht="21" x14ac:dyDescent="0.4">
      <c r="J2" s="24" t="s">
        <v>96</v>
      </c>
      <c r="N2" s="10" t="s">
        <v>112</v>
      </c>
      <c r="Q2" s="24" t="s">
        <v>121</v>
      </c>
      <c r="U2" s="10" t="s">
        <v>112</v>
      </c>
    </row>
    <row r="3" spans="1:22" x14ac:dyDescent="0.3">
      <c r="J3" s="27" t="s">
        <v>95</v>
      </c>
      <c r="K3" s="27" t="s">
        <v>37</v>
      </c>
      <c r="L3" s="27" t="s">
        <v>97</v>
      </c>
      <c r="M3" s="27" t="s">
        <v>27</v>
      </c>
      <c r="N3" s="27" t="s">
        <v>98</v>
      </c>
      <c r="O3" s="27" t="s">
        <v>38</v>
      </c>
      <c r="Q3" s="27" t="s">
        <v>95</v>
      </c>
      <c r="R3" s="27" t="s">
        <v>37</v>
      </c>
      <c r="S3" s="27" t="s">
        <v>97</v>
      </c>
      <c r="T3" s="27" t="s">
        <v>27</v>
      </c>
      <c r="U3" s="27" t="s">
        <v>98</v>
      </c>
      <c r="V3" s="27" t="s">
        <v>38</v>
      </c>
    </row>
    <row r="4" spans="1:22" x14ac:dyDescent="0.3">
      <c r="J4" s="31">
        <v>0</v>
      </c>
      <c r="K4" s="28" t="s">
        <v>100</v>
      </c>
      <c r="L4" s="29" t="s">
        <v>102</v>
      </c>
      <c r="M4" s="26" t="s">
        <v>103</v>
      </c>
      <c r="N4" s="25" t="s">
        <v>101</v>
      </c>
      <c r="O4" s="38">
        <f>_xlfn.XLOOKUP(J4, '4.A OOP Backlog'!C:C, '4.A OOP Backlog'!F:F, "Not Found")</f>
        <v>25</v>
      </c>
      <c r="Q4" s="30">
        <v>14</v>
      </c>
      <c r="R4" s="30" t="s">
        <v>122</v>
      </c>
      <c r="S4" s="29" t="s">
        <v>102</v>
      </c>
      <c r="T4" s="32" t="s">
        <v>44</v>
      </c>
      <c r="U4" s="28" t="s">
        <v>101</v>
      </c>
      <c r="V4" s="39">
        <f>_xlfn.XLOOKUP(Q4, '4.A OOP Backlog'!C:C, '4.A OOP Backlog'!F:F, "Not Found")</f>
        <v>20</v>
      </c>
    </row>
    <row r="5" spans="1:22" x14ac:dyDescent="0.3">
      <c r="J5" s="31">
        <v>1</v>
      </c>
      <c r="K5" s="28" t="s">
        <v>105</v>
      </c>
      <c r="L5" s="29" t="s">
        <v>102</v>
      </c>
      <c r="M5" s="26" t="s">
        <v>103</v>
      </c>
      <c r="N5" s="25" t="s">
        <v>109</v>
      </c>
      <c r="O5" s="44">
        <f>_xlfn.XLOOKUP(J5, '4.A OOP Backlog'!C:C, '4.A OOP Backlog'!F:F, "Not Found")</f>
        <v>40</v>
      </c>
      <c r="Q5" s="30">
        <v>15</v>
      </c>
      <c r="R5" s="30" t="s">
        <v>123</v>
      </c>
      <c r="S5" s="29" t="s">
        <v>99</v>
      </c>
      <c r="T5" s="32" t="s">
        <v>44</v>
      </c>
      <c r="U5" s="28" t="s">
        <v>101</v>
      </c>
      <c r="V5" s="39">
        <f>_xlfn.XLOOKUP(Q5, '4.A OOP Backlog'!C:C, '4.A OOP Backlog'!F:F, "Not Found")</f>
        <v>0</v>
      </c>
    </row>
    <row r="6" spans="1:22" x14ac:dyDescent="0.3">
      <c r="J6" s="31">
        <v>2</v>
      </c>
      <c r="K6" s="28" t="s">
        <v>104</v>
      </c>
      <c r="L6" s="29" t="s">
        <v>99</v>
      </c>
      <c r="M6" s="26" t="s">
        <v>45</v>
      </c>
      <c r="N6" s="25" t="s">
        <v>101</v>
      </c>
      <c r="O6" s="41" t="str">
        <f>_xlfn.XLOOKUP(J6, '4.A OOP Backlog'!C:C, '4.A OOP Backlog'!F:F, "Not Found")</f>
        <v>Not Found</v>
      </c>
      <c r="Q6" s="30">
        <v>16</v>
      </c>
      <c r="R6" s="30" t="s">
        <v>126</v>
      </c>
      <c r="S6" s="29" t="s">
        <v>99</v>
      </c>
      <c r="T6" s="32" t="s">
        <v>45</v>
      </c>
      <c r="U6" s="28" t="s">
        <v>101</v>
      </c>
      <c r="V6" s="39" t="str">
        <f>_xlfn.XLOOKUP(Q6, '4.A OOP Backlog'!C:C, '4.A OOP Backlog'!F:F, "Not Found")</f>
        <v>Not Found</v>
      </c>
    </row>
    <row r="7" spans="1:22" x14ac:dyDescent="0.3">
      <c r="J7" s="31">
        <v>3</v>
      </c>
      <c r="K7" s="28" t="s">
        <v>106</v>
      </c>
      <c r="L7" s="29" t="s">
        <v>102</v>
      </c>
      <c r="M7" s="26" t="s">
        <v>103</v>
      </c>
      <c r="N7" s="25" t="s">
        <v>109</v>
      </c>
      <c r="O7" s="44">
        <f>_xlfn.XLOOKUP(J7, '4.A OOP Backlog'!C:C, '4.A OOP Backlog'!F:F, "Not Found")</f>
        <v>35</v>
      </c>
      <c r="Q7" s="30">
        <v>17</v>
      </c>
      <c r="R7" s="30" t="s">
        <v>127</v>
      </c>
      <c r="S7" s="29" t="s">
        <v>99</v>
      </c>
      <c r="T7" s="32" t="s">
        <v>45</v>
      </c>
      <c r="U7" s="28" t="s">
        <v>101</v>
      </c>
      <c r="V7" s="39" t="str">
        <f>_xlfn.XLOOKUP(Q7, '4.A OOP Backlog'!C:C, '4.A OOP Backlog'!F:F, "Not Found")</f>
        <v>Not Found</v>
      </c>
    </row>
    <row r="8" spans="1:22" x14ac:dyDescent="0.3">
      <c r="J8" s="31">
        <v>4</v>
      </c>
      <c r="K8" s="28" t="s">
        <v>107</v>
      </c>
      <c r="L8" s="29" t="s">
        <v>99</v>
      </c>
      <c r="M8" s="26" t="s">
        <v>45</v>
      </c>
      <c r="N8" s="25" t="s">
        <v>108</v>
      </c>
      <c r="O8" s="41" t="str">
        <f>_xlfn.XLOOKUP(J8, '4.A OOP Backlog'!C:C, '4.A OOP Backlog'!F:F, "Not Found")</f>
        <v>Not Found</v>
      </c>
      <c r="Q8" s="30">
        <v>18</v>
      </c>
      <c r="R8" s="30" t="s">
        <v>128</v>
      </c>
      <c r="S8" s="29" t="s">
        <v>99</v>
      </c>
      <c r="T8" s="32" t="s">
        <v>45</v>
      </c>
      <c r="U8" s="28" t="s">
        <v>101</v>
      </c>
      <c r="V8" s="39" t="str">
        <f>_xlfn.XLOOKUP(Q8, '4.A OOP Backlog'!C:C, '4.A OOP Backlog'!F:F, "Not Found")</f>
        <v>Not Found</v>
      </c>
    </row>
    <row r="9" spans="1:22" x14ac:dyDescent="0.3">
      <c r="J9" s="31">
        <v>5</v>
      </c>
      <c r="K9" s="28" t="s">
        <v>110</v>
      </c>
      <c r="L9" s="29" t="s">
        <v>99</v>
      </c>
      <c r="M9" s="26" t="s">
        <v>45</v>
      </c>
      <c r="N9" s="25" t="s">
        <v>111</v>
      </c>
      <c r="O9" s="41" t="str">
        <f>_xlfn.XLOOKUP(J9, '4.A OOP Backlog'!C:C, '4.A OOP Backlog'!F:F, "Not Found")</f>
        <v>Not Found</v>
      </c>
      <c r="Q9" s="30">
        <v>19</v>
      </c>
      <c r="R9" s="30" t="s">
        <v>129</v>
      </c>
      <c r="S9" s="29" t="s">
        <v>102</v>
      </c>
      <c r="T9" s="32" t="s">
        <v>44</v>
      </c>
      <c r="U9" s="28" t="s">
        <v>101</v>
      </c>
      <c r="V9" s="39">
        <f>_xlfn.XLOOKUP(Q9, '4.A OOP Backlog'!C:C, '4.A OOP Backlog'!F:F, "Not Found")</f>
        <v>20</v>
      </c>
    </row>
    <row r="10" spans="1:22" ht="28.8" x14ac:dyDescent="0.3">
      <c r="J10" s="31">
        <v>6</v>
      </c>
      <c r="K10" s="30" t="s">
        <v>113</v>
      </c>
      <c r="L10" s="29" t="s">
        <v>99</v>
      </c>
      <c r="M10" s="26" t="s">
        <v>45</v>
      </c>
      <c r="N10" s="25" t="s">
        <v>111</v>
      </c>
      <c r="O10" s="41" t="str">
        <f>_xlfn.XLOOKUP(J10, '4.A OOP Backlog'!C:C, '4.A OOP Backlog'!F:F, "Not Found")</f>
        <v>Not Found</v>
      </c>
      <c r="Q10" s="30">
        <v>20</v>
      </c>
      <c r="R10" s="30" t="s">
        <v>130</v>
      </c>
      <c r="S10" s="29" t="s">
        <v>99</v>
      </c>
      <c r="T10" s="32" t="s">
        <v>44</v>
      </c>
      <c r="U10" s="28" t="s">
        <v>101</v>
      </c>
      <c r="V10" s="39">
        <f>_xlfn.XLOOKUP(Q10, '4.A OOP Backlog'!C:C, '4.A OOP Backlog'!F:F, "Not Found")</f>
        <v>0</v>
      </c>
    </row>
    <row r="11" spans="1:22" x14ac:dyDescent="0.3">
      <c r="J11" s="31">
        <v>7</v>
      </c>
      <c r="K11" s="28" t="s">
        <v>114</v>
      </c>
      <c r="L11" s="29" t="s">
        <v>102</v>
      </c>
      <c r="M11" s="26" t="s">
        <v>45</v>
      </c>
      <c r="N11" s="25" t="s">
        <v>101</v>
      </c>
      <c r="O11" s="41" t="str">
        <f>_xlfn.XLOOKUP(J11, '4.A OOP Backlog'!C:C, '4.A OOP Backlog'!F:F, "Not Found")</f>
        <v>Not Found</v>
      </c>
      <c r="Q11" s="30">
        <v>21</v>
      </c>
      <c r="R11" s="30" t="s">
        <v>131</v>
      </c>
      <c r="S11" s="29" t="s">
        <v>99</v>
      </c>
      <c r="T11" s="32" t="s">
        <v>45</v>
      </c>
      <c r="U11" s="28" t="s">
        <v>101</v>
      </c>
      <c r="V11" s="39" t="str">
        <f>_xlfn.XLOOKUP(Q11, '4.A OOP Backlog'!C:C, '4.A OOP Backlog'!F:F, "Not Found")</f>
        <v>Not Found</v>
      </c>
    </row>
    <row r="12" spans="1:22" ht="28.8" x14ac:dyDescent="0.3">
      <c r="J12" s="31">
        <v>8</v>
      </c>
      <c r="K12" s="30" t="s">
        <v>115</v>
      </c>
      <c r="L12" s="29" t="s">
        <v>99</v>
      </c>
      <c r="M12" s="26" t="s">
        <v>45</v>
      </c>
      <c r="N12" s="25" t="s">
        <v>116</v>
      </c>
      <c r="O12" s="41" t="str">
        <f>_xlfn.XLOOKUP(J12, '4.A OOP Backlog'!C:C, '4.A OOP Backlog'!F:F, "Not Found")</f>
        <v>Not Found</v>
      </c>
      <c r="Q12" s="30">
        <v>22</v>
      </c>
      <c r="R12" s="30" t="s">
        <v>132</v>
      </c>
      <c r="S12" s="29" t="s">
        <v>99</v>
      </c>
      <c r="T12" s="32" t="s">
        <v>45</v>
      </c>
      <c r="U12" s="28" t="s">
        <v>101</v>
      </c>
      <c r="V12" s="39" t="str">
        <f>_xlfn.XLOOKUP(Q12, '4.A OOP Backlog'!C:C, '4.A OOP Backlog'!F:F, "Not Found")</f>
        <v>Not Found</v>
      </c>
    </row>
    <row r="13" spans="1:22" ht="21" x14ac:dyDescent="0.4">
      <c r="A13" s="24"/>
      <c r="J13" s="31">
        <v>9</v>
      </c>
      <c r="K13" s="28" t="s">
        <v>117</v>
      </c>
      <c r="L13" s="29" t="s">
        <v>102</v>
      </c>
      <c r="M13" s="26" t="s">
        <v>44</v>
      </c>
      <c r="N13" s="25" t="s">
        <v>111</v>
      </c>
      <c r="O13" s="44">
        <f>_xlfn.XLOOKUP(J13, '4.A OOP Backlog'!C:C, '4.A OOP Backlog'!F:F, "Not Found")</f>
        <v>40</v>
      </c>
      <c r="Q13" s="30">
        <v>23</v>
      </c>
      <c r="R13" s="30" t="s">
        <v>135</v>
      </c>
      <c r="S13" s="29" t="s">
        <v>99</v>
      </c>
      <c r="T13" s="32" t="s">
        <v>45</v>
      </c>
      <c r="U13" s="28" t="s">
        <v>101</v>
      </c>
      <c r="V13" s="39" t="str">
        <f>_xlfn.XLOOKUP(Q13, '4.A OOP Backlog'!C:C, '4.A OOP Backlog'!F:F, "Not Found")</f>
        <v>Not Found</v>
      </c>
    </row>
    <row r="14" spans="1:22" x14ac:dyDescent="0.3">
      <c r="A14" s="53" t="s">
        <v>224</v>
      </c>
      <c r="J14" s="31">
        <v>10</v>
      </c>
      <c r="K14" s="28" t="s">
        <v>118</v>
      </c>
      <c r="L14" s="29" t="s">
        <v>99</v>
      </c>
      <c r="M14" s="26" t="s">
        <v>45</v>
      </c>
      <c r="N14" s="25" t="s">
        <v>111</v>
      </c>
      <c r="O14" s="41" t="str">
        <f>_xlfn.XLOOKUP(J14, '4.A OOP Backlog'!C:C, '4.A OOP Backlog'!F:F, "Not Found")</f>
        <v>Not Found</v>
      </c>
      <c r="Q14" s="30">
        <v>24</v>
      </c>
      <c r="R14" s="30" t="s">
        <v>134</v>
      </c>
      <c r="S14" s="29" t="s">
        <v>99</v>
      </c>
      <c r="T14" s="32" t="s">
        <v>45</v>
      </c>
      <c r="U14" s="28" t="s">
        <v>101</v>
      </c>
      <c r="V14" s="39" t="str">
        <f>_xlfn.XLOOKUP(Q14, '4.A OOP Backlog'!C:C, '4.A OOP Backlog'!F:F, "Not Found")</f>
        <v>Not Found</v>
      </c>
    </row>
    <row r="15" spans="1:22" x14ac:dyDescent="0.3">
      <c r="A15" s="54" t="s">
        <v>225</v>
      </c>
      <c r="B15" s="10" t="s">
        <v>226</v>
      </c>
      <c r="C15" s="10" t="s">
        <v>38</v>
      </c>
      <c r="J15" s="31">
        <v>11</v>
      </c>
      <c r="K15" s="28" t="s">
        <v>119</v>
      </c>
      <c r="L15" s="29" t="s">
        <v>102</v>
      </c>
      <c r="M15" s="26" t="s">
        <v>45</v>
      </c>
      <c r="N15" s="25" t="s">
        <v>108</v>
      </c>
      <c r="O15" s="41" t="str">
        <f>_xlfn.XLOOKUP(J15, '4.A OOP Backlog'!C:C, '4.A OOP Backlog'!F:F, "Not Found")</f>
        <v>Not Found</v>
      </c>
      <c r="Q15" s="30">
        <v>25</v>
      </c>
      <c r="R15" s="30" t="s">
        <v>133</v>
      </c>
      <c r="S15" s="29" t="s">
        <v>99</v>
      </c>
      <c r="T15" s="32" t="s">
        <v>45</v>
      </c>
      <c r="U15" s="28" t="s">
        <v>101</v>
      </c>
      <c r="V15" s="39" t="str">
        <f>_xlfn.XLOOKUP(Q15, '4.A OOP Backlog'!C:C, '4.A OOP Backlog'!F:F, "Not Found")</f>
        <v>Not Found</v>
      </c>
    </row>
    <row r="16" spans="1:22" x14ac:dyDescent="0.3">
      <c r="A16" s="10" t="s">
        <v>96</v>
      </c>
      <c r="B16" s="10">
        <f>COUNT(OOP_ConceptSkillTable[Skill ID])</f>
        <v>16</v>
      </c>
      <c r="C16" s="60">
        <f>SUM(OOP_ConceptSkillTable[Progress])/B16</f>
        <v>8.75</v>
      </c>
      <c r="J16" s="31">
        <v>12</v>
      </c>
      <c r="K16" s="28" t="s">
        <v>120</v>
      </c>
      <c r="L16" s="29" t="s">
        <v>99</v>
      </c>
      <c r="M16" s="26" t="s">
        <v>45</v>
      </c>
      <c r="N16" s="25" t="s">
        <v>108</v>
      </c>
      <c r="O16" s="41" t="str">
        <f>_xlfn.XLOOKUP(J16, '4.A OOP Backlog'!C:C, '4.A OOP Backlog'!F:F, "Not Found")</f>
        <v>Not Found</v>
      </c>
      <c r="Q16" s="30">
        <v>26</v>
      </c>
      <c r="R16" s="30" t="s">
        <v>136</v>
      </c>
      <c r="S16" s="29" t="s">
        <v>102</v>
      </c>
      <c r="T16" s="32" t="s">
        <v>44</v>
      </c>
      <c r="U16" s="28" t="s">
        <v>101</v>
      </c>
      <c r="V16" s="39">
        <f>_xlfn.XLOOKUP(Q16, '4.A OOP Backlog'!C:C, '4.A OOP Backlog'!F:F, "Not Found")</f>
        <v>20</v>
      </c>
    </row>
    <row r="17" spans="1:22" x14ac:dyDescent="0.3">
      <c r="A17" s="10" t="s">
        <v>121</v>
      </c>
      <c r="B17" s="10">
        <f>COUNT(OOP_PracticalSkillTable[Skill ID])</f>
        <v>24</v>
      </c>
      <c r="C17" s="60">
        <f>SUM(OOP_PracticalSkillTable[Progress])/B17</f>
        <v>2.5</v>
      </c>
      <c r="J17" s="31">
        <v>13</v>
      </c>
      <c r="K17" s="28" t="s">
        <v>124</v>
      </c>
      <c r="L17" s="29" t="s">
        <v>99</v>
      </c>
      <c r="M17" s="26" t="s">
        <v>45</v>
      </c>
      <c r="N17" s="25" t="s">
        <v>125</v>
      </c>
      <c r="O17" s="41" t="str">
        <f>_xlfn.XLOOKUP(J17, '4.A OOP Backlog'!C:C, '4.A OOP Backlog'!F:F, "Not Found")</f>
        <v>Not Found</v>
      </c>
      <c r="Q17" s="30">
        <v>27</v>
      </c>
      <c r="R17" s="30" t="s">
        <v>137</v>
      </c>
      <c r="S17" s="29" t="s">
        <v>99</v>
      </c>
      <c r="T17" s="32" t="s">
        <v>44</v>
      </c>
      <c r="U17" s="28" t="s">
        <v>101</v>
      </c>
      <c r="V17" s="39">
        <f>_xlfn.XLOOKUP(Q17, '4.A OOP Backlog'!C:C, '4.A OOP Backlog'!F:F, "Not Found")</f>
        <v>0</v>
      </c>
    </row>
    <row r="18" spans="1:22" x14ac:dyDescent="0.3">
      <c r="A18" s="10" t="s">
        <v>229</v>
      </c>
      <c r="B18" s="10">
        <f>B17+B16</f>
        <v>40</v>
      </c>
      <c r="C18" s="60">
        <f>C16 + C17</f>
        <v>11.25</v>
      </c>
      <c r="J18" s="31">
        <v>38</v>
      </c>
      <c r="K18" s="28" t="s">
        <v>212</v>
      </c>
      <c r="L18" s="29" t="s">
        <v>99</v>
      </c>
      <c r="M18" s="26" t="s">
        <v>45</v>
      </c>
      <c r="N18" s="25" t="s">
        <v>125</v>
      </c>
      <c r="O18" s="52" t="str">
        <f>_xlfn.XLOOKUP(J18, '4.A OOP Backlog'!C:C, '4.A OOP Backlog'!F:F, "Not Found")</f>
        <v>Not Found</v>
      </c>
      <c r="Q18" s="30">
        <v>28</v>
      </c>
      <c r="R18" s="30" t="s">
        <v>138</v>
      </c>
      <c r="S18" s="29" t="s">
        <v>99</v>
      </c>
      <c r="T18" s="32" t="s">
        <v>45</v>
      </c>
      <c r="U18" s="28" t="s">
        <v>101</v>
      </c>
      <c r="V18" s="39" t="str">
        <f>_xlfn.XLOOKUP(Q18, '4.A OOP Backlog'!C:C, '4.A OOP Backlog'!F:F, "Not Found")</f>
        <v>Not Found</v>
      </c>
    </row>
    <row r="19" spans="1:22" x14ac:dyDescent="0.3">
      <c r="J19" s="55">
        <v>39</v>
      </c>
      <c r="K19" s="56" t="s">
        <v>227</v>
      </c>
      <c r="L19" s="57" t="s">
        <v>99</v>
      </c>
      <c r="M19" s="58" t="s">
        <v>45</v>
      </c>
      <c r="N19" s="59" t="s">
        <v>228</v>
      </c>
      <c r="O19" s="42" t="str">
        <f>_xlfn.XLOOKUP(J19, '4.A OOP Backlog'!C:C, '4.A OOP Backlog'!F:F, "Not Found")</f>
        <v>Not Found</v>
      </c>
      <c r="Q19" s="30">
        <v>29</v>
      </c>
      <c r="R19" s="30" t="s">
        <v>139</v>
      </c>
      <c r="S19" s="29" t="s">
        <v>99</v>
      </c>
      <c r="T19" s="32" t="s">
        <v>45</v>
      </c>
      <c r="U19" s="28" t="s">
        <v>101</v>
      </c>
      <c r="V19" s="39" t="str">
        <f>_xlfn.XLOOKUP(Q19, '4.A OOP Backlog'!C:C, '4.A OOP Backlog'!F:F, "Not Found")</f>
        <v>Not Found</v>
      </c>
    </row>
    <row r="20" spans="1:22" x14ac:dyDescent="0.3">
      <c r="Q20" s="30">
        <v>30</v>
      </c>
      <c r="R20" s="30" t="s">
        <v>140</v>
      </c>
      <c r="S20" s="29" t="s">
        <v>99</v>
      </c>
      <c r="T20" s="32" t="s">
        <v>45</v>
      </c>
      <c r="U20" s="28" t="s">
        <v>101</v>
      </c>
      <c r="V20" s="39" t="str">
        <f>_xlfn.XLOOKUP(Q20, '4.A OOP Backlog'!C:C, '4.A OOP Backlog'!F:F, "Not Found")</f>
        <v>Not Found</v>
      </c>
    </row>
    <row r="21" spans="1:22" x14ac:dyDescent="0.3">
      <c r="Q21" s="30">
        <v>31</v>
      </c>
      <c r="R21" s="30" t="s">
        <v>141</v>
      </c>
      <c r="S21" s="29" t="s">
        <v>99</v>
      </c>
      <c r="T21" s="32" t="s">
        <v>45</v>
      </c>
      <c r="U21" s="28" t="s">
        <v>101</v>
      </c>
      <c r="V21" s="39" t="str">
        <f>_xlfn.XLOOKUP(Q21, '4.A OOP Backlog'!C:C, '4.A OOP Backlog'!F:F, "Not Found")</f>
        <v>Not Found</v>
      </c>
    </row>
    <row r="22" spans="1:22" x14ac:dyDescent="0.3">
      <c r="Q22" s="30">
        <v>32</v>
      </c>
      <c r="R22" s="30" t="s">
        <v>142</v>
      </c>
      <c r="S22" s="29" t="s">
        <v>99</v>
      </c>
      <c r="T22" s="32" t="s">
        <v>45</v>
      </c>
      <c r="U22" s="28" t="s">
        <v>101</v>
      </c>
      <c r="V22" s="39" t="str">
        <f>_xlfn.XLOOKUP(Q22, '4.A OOP Backlog'!C:C, '4.A OOP Backlog'!F:F, "Not Found")</f>
        <v>Not Found</v>
      </c>
    </row>
    <row r="23" spans="1:22" x14ac:dyDescent="0.3">
      <c r="Q23" s="30">
        <v>33</v>
      </c>
      <c r="R23" s="30" t="s">
        <v>143</v>
      </c>
      <c r="S23" s="29" t="s">
        <v>99</v>
      </c>
      <c r="T23" s="32" t="s">
        <v>45</v>
      </c>
      <c r="U23" s="28" t="s">
        <v>101</v>
      </c>
      <c r="V23" s="39" t="str">
        <f>_xlfn.XLOOKUP(Q23, '4.A OOP Backlog'!C:C, '4.A OOP Backlog'!F:F, "Not Found")</f>
        <v>Not Found</v>
      </c>
    </row>
    <row r="24" spans="1:22" x14ac:dyDescent="0.3">
      <c r="Q24" s="30">
        <v>34</v>
      </c>
      <c r="R24" s="30" t="s">
        <v>144</v>
      </c>
      <c r="S24" s="29" t="s">
        <v>99</v>
      </c>
      <c r="T24" s="32" t="s">
        <v>45</v>
      </c>
      <c r="U24" s="28" t="s">
        <v>101</v>
      </c>
      <c r="V24" s="39" t="str">
        <f>_xlfn.XLOOKUP(Q24, '4.A OOP Backlog'!C:C, '4.A OOP Backlog'!F:F, "Not Found")</f>
        <v>Not Found</v>
      </c>
    </row>
    <row r="25" spans="1:22" x14ac:dyDescent="0.3">
      <c r="Q25" s="30">
        <v>35</v>
      </c>
      <c r="R25" s="30" t="s">
        <v>145</v>
      </c>
      <c r="S25" s="29" t="s">
        <v>99</v>
      </c>
      <c r="T25" s="32" t="s">
        <v>45</v>
      </c>
      <c r="U25" s="28" t="s">
        <v>101</v>
      </c>
      <c r="V25" s="39" t="str">
        <f>_xlfn.XLOOKUP(Q25, '4.A OOP Backlog'!C:C, '4.A OOP Backlog'!F:F, "Not Found")</f>
        <v>Not Found</v>
      </c>
    </row>
    <row r="26" spans="1:22" x14ac:dyDescent="0.3">
      <c r="Q26" s="30">
        <v>36</v>
      </c>
      <c r="R26" s="30" t="s">
        <v>146</v>
      </c>
      <c r="S26" s="29" t="s">
        <v>99</v>
      </c>
      <c r="T26" s="32" t="s">
        <v>45</v>
      </c>
      <c r="U26" s="28" t="s">
        <v>147</v>
      </c>
      <c r="V26" s="39" t="str">
        <f>_xlfn.XLOOKUP(Q26, '4.A OOP Backlog'!C:C, '4.A OOP Backlog'!F:F, "Not Found")</f>
        <v>Not Found</v>
      </c>
    </row>
    <row r="27" spans="1:22" ht="28.8" x14ac:dyDescent="0.3">
      <c r="Q27" s="30">
        <v>37</v>
      </c>
      <c r="R27" s="30" t="s">
        <v>148</v>
      </c>
      <c r="S27" s="29" t="s">
        <v>99</v>
      </c>
      <c r="T27" s="32" t="s">
        <v>45</v>
      </c>
      <c r="U27" s="28" t="s">
        <v>149</v>
      </c>
      <c r="V27" s="39" t="str">
        <f>_xlfn.XLOOKUP(Q27, '4.A OOP Backlog'!C:C, '4.A OOP Backlog'!F:F, "Not Found")</f>
        <v>Not Found</v>
      </c>
    </row>
  </sheetData>
  <phoneticPr fontId="8" type="noConversion"/>
  <conditionalFormatting sqref="L4:L19">
    <cfRule type="containsText" dxfId="48" priority="32" operator="containsText" text="F">
      <formula>NOT(ISERROR(SEARCH("F",L4)))</formula>
    </cfRule>
    <cfRule type="containsText" dxfId="47" priority="33" operator="containsText" text="T">
      <formula>NOT(ISERROR(SEARCH("T",L4)))</formula>
    </cfRule>
  </conditionalFormatting>
  <conditionalFormatting sqref="O4:O19">
    <cfRule type="cellIs" dxfId="46" priority="27" operator="greaterThan">
      <formula>80</formula>
    </cfRule>
    <cfRule type="cellIs" dxfId="45" priority="28" operator="between">
      <formula>61</formula>
      <formula>80</formula>
    </cfRule>
    <cfRule type="cellIs" dxfId="44" priority="29" operator="between">
      <formula>31</formula>
      <formula>60</formula>
    </cfRule>
    <cfRule type="cellIs" dxfId="43" priority="30" operator="between">
      <formula>11</formula>
      <formula>30</formula>
    </cfRule>
    <cfRule type="cellIs" dxfId="42" priority="31" operator="between">
      <formula>0</formula>
      <formula>10</formula>
    </cfRule>
  </conditionalFormatting>
  <conditionalFormatting sqref="M4:M19">
    <cfRule type="containsText" dxfId="41" priority="23" operator="containsText" text="moved">
      <formula>NOT(ISERROR(SEARCH("moved",M4)))</formula>
    </cfRule>
    <cfRule type="containsText" dxfId="40" priority="24" operator="containsText" text="finish">
      <formula>NOT(ISERROR(SEARCH("finish",M4)))</formula>
    </cfRule>
    <cfRule type="containsText" dxfId="39" priority="25" operator="containsText" text="in-progress">
      <formula>NOT(ISERROR(SEARCH("in-progress",M4)))</formula>
    </cfRule>
    <cfRule type="containsText" dxfId="38" priority="26" operator="containsText" text="idle">
      <formula>NOT(ISERROR(SEARCH("idle",M4)))</formula>
    </cfRule>
  </conditionalFormatting>
  <conditionalFormatting sqref="S4:S27">
    <cfRule type="containsText" dxfId="37" priority="10" operator="containsText" text="F">
      <formula>NOT(ISERROR(SEARCH("F",S4)))</formula>
    </cfRule>
    <cfRule type="containsText" dxfId="36" priority="11" operator="containsText" text="T">
      <formula>NOT(ISERROR(SEARCH("T",S4)))</formula>
    </cfRule>
  </conditionalFormatting>
  <conditionalFormatting sqref="T4:T27">
    <cfRule type="containsText" dxfId="35" priority="6" operator="containsText" text="moved">
      <formula>NOT(ISERROR(SEARCH("moved",T4)))</formula>
    </cfRule>
    <cfRule type="containsText" dxfId="34" priority="7" operator="containsText" text="finish">
      <formula>NOT(ISERROR(SEARCH("finish",T4)))</formula>
    </cfRule>
    <cfRule type="containsText" dxfId="33" priority="8" operator="containsText" text="in-progress">
      <formula>NOT(ISERROR(SEARCH("in-progress",T4)))</formula>
    </cfRule>
    <cfRule type="containsText" dxfId="32" priority="9" operator="containsText" text="idle">
      <formula>NOT(ISERROR(SEARCH("idle",T4)))</formula>
    </cfRule>
  </conditionalFormatting>
  <conditionalFormatting sqref="V4:V27">
    <cfRule type="cellIs" dxfId="31" priority="1" operator="greaterThan">
      <formula>80</formula>
    </cfRule>
    <cfRule type="cellIs" dxfId="30" priority="2" operator="between">
      <formula>61</formula>
      <formula>80</formula>
    </cfRule>
    <cfRule type="cellIs" dxfId="29" priority="3" operator="between">
      <formula>31</formula>
      <formula>60</formula>
    </cfRule>
    <cfRule type="cellIs" dxfId="28" priority="4" operator="between">
      <formula>11</formula>
      <formula>30</formula>
    </cfRule>
    <cfRule type="cellIs" dxfId="27" priority="5" operator="between">
      <formula>0</formula>
      <formula>10</formula>
    </cfRule>
  </conditionalFormatting>
  <dataValidations count="1">
    <dataValidation type="list" allowBlank="1" showInputMessage="1" showErrorMessage="1" prompt="station" sqref="M4:M19 T4:T27" xr:uid="{4151941B-AC0C-492D-B5BB-FEEA4A18A1CB}">
      <formula1>"station, in-progress, idle, finished, moved"</formula1>
    </dataValidation>
  </dataValidations>
  <pageMargins left="0.7" right="0.7" top="0.75" bottom="0.75" header="0.3" footer="0.3"/>
  <drawing r:id="rId1"/>
  <tableParts count="3">
    <tablePart r:id="rId2"/>
    <tablePart r:id="rId3"/>
    <tablePart r:id="rId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C3ED25-FE6E-4E9D-9B3F-CF0BBF0BCC88}">
  <sheetPr codeName="Sheet26">
    <tabColor rgb="FF0CE64A"/>
  </sheetPr>
  <dimension ref="C3"/>
  <sheetViews>
    <sheetView zoomScale="95" workbookViewId="0">
      <selection activeCell="G8" sqref="G8"/>
    </sheetView>
  </sheetViews>
  <sheetFormatPr defaultRowHeight="14.4" x14ac:dyDescent="0.3"/>
  <cols>
    <col min="1" max="16384" width="8.88671875" style="34"/>
  </cols>
  <sheetData>
    <row r="3" spans="3:3" ht="21" x14ac:dyDescent="0.4">
      <c r="C3" s="35" t="s">
        <v>152</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75CA1B-3446-424E-BB06-FFDA4D6DA26C}">
  <sheetPr codeName="Sheet27">
    <tabColor rgb="FF00CCD6"/>
  </sheetPr>
  <dimension ref="B6:K55"/>
  <sheetViews>
    <sheetView zoomScale="105" workbookViewId="0">
      <selection activeCell="H24" sqref="H24"/>
    </sheetView>
  </sheetViews>
  <sheetFormatPr defaultRowHeight="14.4" x14ac:dyDescent="0.3"/>
  <cols>
    <col min="1" max="6" width="8.88671875" style="33"/>
    <col min="7" max="7" width="20.88671875" style="33" customWidth="1"/>
    <col min="8" max="8" width="8.88671875" style="33"/>
    <col min="9" max="9" width="20.5546875" style="33" customWidth="1"/>
    <col min="10" max="16384" width="8.88671875" style="33"/>
  </cols>
  <sheetData>
    <row r="6" spans="2:11" ht="21" x14ac:dyDescent="0.4">
      <c r="B6" s="45" t="s">
        <v>155</v>
      </c>
      <c r="F6" s="45" t="s">
        <v>214</v>
      </c>
    </row>
    <row r="7" spans="2:11" x14ac:dyDescent="0.3">
      <c r="B7" s="33" t="s">
        <v>156</v>
      </c>
      <c r="C7" s="33" t="s">
        <v>157</v>
      </c>
      <c r="F7" s="46" t="s">
        <v>215</v>
      </c>
      <c r="G7" s="47" t="s">
        <v>216</v>
      </c>
    </row>
    <row r="8" spans="2:11" x14ac:dyDescent="0.3">
      <c r="B8" s="33">
        <v>0</v>
      </c>
      <c r="C8" s="33" t="s">
        <v>158</v>
      </c>
      <c r="F8" s="48">
        <v>2</v>
      </c>
      <c r="G8" s="50" t="str">
        <f>IF(ISNUMBER(F8), _xlfn.XLOOKUP(F8, B:B, C:C, "Not Found"), "Enter ID")</f>
        <v>Object-Oriented</v>
      </c>
    </row>
    <row r="9" spans="2:11" x14ac:dyDescent="0.3">
      <c r="B9" s="33">
        <v>1</v>
      </c>
      <c r="C9" s="33" t="s">
        <v>159</v>
      </c>
    </row>
    <row r="10" spans="2:11" x14ac:dyDescent="0.3">
      <c r="B10" s="33">
        <v>2</v>
      </c>
      <c r="C10" s="33" t="s">
        <v>160</v>
      </c>
    </row>
    <row r="11" spans="2:11" x14ac:dyDescent="0.3">
      <c r="B11" s="33">
        <v>3</v>
      </c>
      <c r="C11" s="33" t="s">
        <v>161</v>
      </c>
    </row>
    <row r="12" spans="2:11" ht="21" x14ac:dyDescent="0.4">
      <c r="B12" s="33">
        <v>4</v>
      </c>
      <c r="C12" s="33" t="s">
        <v>162</v>
      </c>
      <c r="F12" s="45" t="s">
        <v>217</v>
      </c>
      <c r="K12" s="33" t="s">
        <v>220</v>
      </c>
    </row>
    <row r="13" spans="2:11" x14ac:dyDescent="0.3">
      <c r="B13" s="33">
        <v>5</v>
      </c>
      <c r="C13" s="33" t="s">
        <v>163</v>
      </c>
      <c r="F13" s="46" t="s">
        <v>215</v>
      </c>
      <c r="G13" s="49" t="s">
        <v>216</v>
      </c>
      <c r="H13" s="49" t="s">
        <v>218</v>
      </c>
      <c r="I13" s="47" t="s">
        <v>219</v>
      </c>
    </row>
    <row r="14" spans="2:11" x14ac:dyDescent="0.3">
      <c r="B14" s="33">
        <v>6</v>
      </c>
      <c r="C14" s="33" t="s">
        <v>164</v>
      </c>
      <c r="F14" s="48">
        <v>0</v>
      </c>
      <c r="G14" s="51" t="str">
        <f>IF(ISNUMBER(F14),_xlfn.XLOOKUP(F14,B:B,C:C,"Not Found"),"Enter ID")</f>
        <v>Imperative</v>
      </c>
      <c r="H14" s="48">
        <v>2</v>
      </c>
      <c r="I14" s="51" t="str">
        <f>IF(ISNUMBER(H14),_xlfn.XLOOKUP(H14,B:B,C:C,"Not Found"),"Enter ID")</f>
        <v>Object-Oriented</v>
      </c>
    </row>
    <row r="15" spans="2:11" x14ac:dyDescent="0.3">
      <c r="B15" s="33">
        <v>7</v>
      </c>
      <c r="C15" s="33" t="s">
        <v>165</v>
      </c>
    </row>
    <row r="16" spans="2:11" x14ac:dyDescent="0.3">
      <c r="B16" s="33">
        <v>8</v>
      </c>
      <c r="C16" s="33" t="s">
        <v>166</v>
      </c>
    </row>
    <row r="17" spans="2:3" x14ac:dyDescent="0.3">
      <c r="B17" s="33">
        <v>9</v>
      </c>
      <c r="C17" s="33" t="s">
        <v>167</v>
      </c>
    </row>
    <row r="18" spans="2:3" x14ac:dyDescent="0.3">
      <c r="B18" s="33">
        <v>10</v>
      </c>
      <c r="C18" s="33" t="s">
        <v>168</v>
      </c>
    </row>
    <row r="19" spans="2:3" x14ac:dyDescent="0.3">
      <c r="B19" s="33">
        <v>11</v>
      </c>
      <c r="C19" s="33" t="s">
        <v>169</v>
      </c>
    </row>
    <row r="20" spans="2:3" x14ac:dyDescent="0.3">
      <c r="B20" s="33">
        <v>12</v>
      </c>
      <c r="C20" s="33" t="s">
        <v>170</v>
      </c>
    </row>
    <row r="21" spans="2:3" x14ac:dyDescent="0.3">
      <c r="B21" s="33">
        <v>13</v>
      </c>
      <c r="C21" s="33" t="s">
        <v>171</v>
      </c>
    </row>
    <row r="22" spans="2:3" x14ac:dyDescent="0.3">
      <c r="B22" s="33">
        <v>14</v>
      </c>
      <c r="C22" s="33" t="s">
        <v>172</v>
      </c>
    </row>
    <row r="23" spans="2:3" x14ac:dyDescent="0.3">
      <c r="B23" s="33">
        <v>15</v>
      </c>
      <c r="C23" s="33" t="s">
        <v>173</v>
      </c>
    </row>
    <row r="24" spans="2:3" x14ac:dyDescent="0.3">
      <c r="B24" s="33">
        <v>16</v>
      </c>
      <c r="C24" s="33" t="s">
        <v>174</v>
      </c>
    </row>
    <row r="25" spans="2:3" x14ac:dyDescent="0.3">
      <c r="B25" s="33">
        <v>17</v>
      </c>
      <c r="C25" s="33" t="s">
        <v>175</v>
      </c>
    </row>
    <row r="26" spans="2:3" x14ac:dyDescent="0.3">
      <c r="B26" s="33">
        <v>18</v>
      </c>
      <c r="C26" s="33" t="s">
        <v>176</v>
      </c>
    </row>
    <row r="27" spans="2:3" x14ac:dyDescent="0.3">
      <c r="B27" s="33">
        <v>19</v>
      </c>
      <c r="C27" s="33" t="s">
        <v>177</v>
      </c>
    </row>
    <row r="28" spans="2:3" x14ac:dyDescent="0.3">
      <c r="B28" s="33">
        <v>20</v>
      </c>
      <c r="C28" s="33" t="s">
        <v>178</v>
      </c>
    </row>
    <row r="29" spans="2:3" x14ac:dyDescent="0.3">
      <c r="B29" s="33">
        <v>21</v>
      </c>
      <c r="C29" s="33" t="s">
        <v>180</v>
      </c>
    </row>
    <row r="30" spans="2:3" x14ac:dyDescent="0.3">
      <c r="B30" s="33">
        <v>22</v>
      </c>
      <c r="C30" s="33" t="s">
        <v>181</v>
      </c>
    </row>
    <row r="31" spans="2:3" x14ac:dyDescent="0.3">
      <c r="B31" s="33">
        <v>23</v>
      </c>
      <c r="C31" s="33" t="s">
        <v>182</v>
      </c>
    </row>
    <row r="32" spans="2:3" x14ac:dyDescent="0.3">
      <c r="B32" s="33">
        <v>24</v>
      </c>
      <c r="C32" s="33" t="s">
        <v>183</v>
      </c>
    </row>
    <row r="33" spans="2:3" x14ac:dyDescent="0.3">
      <c r="B33" s="33">
        <v>25</v>
      </c>
      <c r="C33" s="33" t="s">
        <v>184</v>
      </c>
    </row>
    <row r="34" spans="2:3" x14ac:dyDescent="0.3">
      <c r="B34" s="33">
        <v>26</v>
      </c>
      <c r="C34" s="33" t="s">
        <v>185</v>
      </c>
    </row>
    <row r="35" spans="2:3" x14ac:dyDescent="0.3">
      <c r="B35" s="33">
        <v>27</v>
      </c>
      <c r="C35" s="33" t="s">
        <v>186</v>
      </c>
    </row>
    <row r="36" spans="2:3" x14ac:dyDescent="0.3">
      <c r="B36" s="33">
        <v>28</v>
      </c>
      <c r="C36" s="33" t="s">
        <v>187</v>
      </c>
    </row>
    <row r="37" spans="2:3" x14ac:dyDescent="0.3">
      <c r="B37" s="33">
        <v>29</v>
      </c>
      <c r="C37" s="33" t="s">
        <v>188</v>
      </c>
    </row>
    <row r="38" spans="2:3" x14ac:dyDescent="0.3">
      <c r="B38" s="33">
        <v>30</v>
      </c>
      <c r="C38" s="33" t="s">
        <v>189</v>
      </c>
    </row>
    <row r="39" spans="2:3" x14ac:dyDescent="0.3">
      <c r="B39" s="33">
        <v>31</v>
      </c>
      <c r="C39" s="33" t="s">
        <v>190</v>
      </c>
    </row>
    <row r="40" spans="2:3" x14ac:dyDescent="0.3">
      <c r="B40" s="33">
        <v>32</v>
      </c>
      <c r="C40" s="33" t="s">
        <v>191</v>
      </c>
    </row>
    <row r="41" spans="2:3" x14ac:dyDescent="0.3">
      <c r="B41" s="33">
        <v>33</v>
      </c>
      <c r="C41" s="33" t="s">
        <v>192</v>
      </c>
    </row>
    <row r="42" spans="2:3" x14ac:dyDescent="0.3">
      <c r="B42" s="33">
        <v>34</v>
      </c>
      <c r="C42" s="33" t="s">
        <v>193</v>
      </c>
    </row>
    <row r="43" spans="2:3" x14ac:dyDescent="0.3">
      <c r="B43" s="33">
        <v>35</v>
      </c>
      <c r="C43" s="33" t="s">
        <v>194</v>
      </c>
    </row>
    <row r="44" spans="2:3" x14ac:dyDescent="0.3">
      <c r="B44" s="33">
        <v>36</v>
      </c>
      <c r="C44" s="33" t="s">
        <v>195</v>
      </c>
    </row>
    <row r="45" spans="2:3" x14ac:dyDescent="0.3">
      <c r="B45" s="33">
        <v>37</v>
      </c>
      <c r="C45" s="33" t="s">
        <v>196</v>
      </c>
    </row>
    <row r="46" spans="2:3" x14ac:dyDescent="0.3">
      <c r="B46" s="33">
        <v>38</v>
      </c>
      <c r="C46" s="33" t="s">
        <v>197</v>
      </c>
    </row>
    <row r="47" spans="2:3" x14ac:dyDescent="0.3">
      <c r="B47" s="33">
        <v>39</v>
      </c>
      <c r="C47" s="33" t="s">
        <v>198</v>
      </c>
    </row>
    <row r="48" spans="2:3" x14ac:dyDescent="0.3">
      <c r="B48" s="33">
        <v>40</v>
      </c>
      <c r="C48" s="33" t="s">
        <v>199</v>
      </c>
    </row>
    <row r="49" spans="2:3" x14ac:dyDescent="0.3">
      <c r="B49" s="33">
        <v>41</v>
      </c>
      <c r="C49" s="33" t="s">
        <v>200</v>
      </c>
    </row>
    <row r="50" spans="2:3" x14ac:dyDescent="0.3">
      <c r="B50" s="33">
        <v>42</v>
      </c>
      <c r="C50" s="33" t="s">
        <v>201</v>
      </c>
    </row>
    <row r="51" spans="2:3" x14ac:dyDescent="0.3">
      <c r="B51" s="33">
        <v>43</v>
      </c>
      <c r="C51" s="33" t="s">
        <v>202</v>
      </c>
    </row>
    <row r="52" spans="2:3" x14ac:dyDescent="0.3">
      <c r="B52" s="33">
        <v>44</v>
      </c>
      <c r="C52" s="33" t="s">
        <v>203</v>
      </c>
    </row>
    <row r="53" spans="2:3" x14ac:dyDescent="0.3">
      <c r="B53" s="33">
        <v>45</v>
      </c>
      <c r="C53" s="33" t="s">
        <v>204</v>
      </c>
    </row>
    <row r="54" spans="2:3" x14ac:dyDescent="0.3">
      <c r="B54" s="33">
        <v>46</v>
      </c>
      <c r="C54" s="33" t="s">
        <v>205</v>
      </c>
    </row>
    <row r="55" spans="2:3" x14ac:dyDescent="0.3">
      <c r="B55" s="33">
        <v>47</v>
      </c>
      <c r="C55" s="33" t="s">
        <v>213</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DrawNodes">
                <anchor moveWithCells="1">
                  <from>
                    <xdr:col>4</xdr:col>
                    <xdr:colOff>594360</xdr:colOff>
                    <xdr:row>8</xdr:row>
                    <xdr:rowOff>129540</xdr:rowOff>
                  </from>
                  <to>
                    <xdr:col>6</xdr:col>
                    <xdr:colOff>7620</xdr:colOff>
                    <xdr:row>10</xdr:row>
                    <xdr:rowOff>7620</xdr:rowOff>
                  </to>
                </anchor>
              </controlPr>
            </control>
          </mc:Choice>
        </mc:AlternateContent>
        <mc:AlternateContent xmlns:mc="http://schemas.openxmlformats.org/markup-compatibility/2006">
          <mc:Choice Requires="x14">
            <control shapeId="6146" r:id="rId4" name="Button 2">
              <controlPr defaultSize="0" print="0" autoFill="0" autoPict="0" macro="[0]!ConnectNodes">
                <anchor moveWithCells="1">
                  <from>
                    <xdr:col>5</xdr:col>
                    <xdr:colOff>22860</xdr:colOff>
                    <xdr:row>14</xdr:row>
                    <xdr:rowOff>129540</xdr:rowOff>
                  </from>
                  <to>
                    <xdr:col>6</xdr:col>
                    <xdr:colOff>45720</xdr:colOff>
                    <xdr:row>16</xdr:row>
                    <xdr:rowOff>7620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CF5B5D-E438-4620-85D8-4F53F479C74B}">
  <sheetPr codeName="Sheet28">
    <tabColor rgb="FFEDF1E4"/>
  </sheetPr>
  <dimension ref="B3:G14"/>
  <sheetViews>
    <sheetView zoomScale="115" workbookViewId="0">
      <selection activeCell="F14" sqref="F14"/>
    </sheetView>
  </sheetViews>
  <sheetFormatPr defaultRowHeight="14.4" x14ac:dyDescent="0.3"/>
  <cols>
    <col min="1" max="1" width="8.88671875" style="37"/>
    <col min="2" max="2" width="6.6640625" style="37" bestFit="1" customWidth="1"/>
    <col min="3" max="3" width="6.44140625" style="37" bestFit="1" customWidth="1"/>
    <col min="4" max="4" width="41" style="37" bestFit="1" customWidth="1"/>
    <col min="5" max="5" width="9.109375" style="37" bestFit="1" customWidth="1"/>
    <col min="6" max="6" width="7.88671875" style="37" bestFit="1" customWidth="1"/>
    <col min="7" max="16384" width="8.88671875" style="37"/>
  </cols>
  <sheetData>
    <row r="3" spans="2:7" ht="21" x14ac:dyDescent="0.4">
      <c r="B3" s="36" t="s">
        <v>206</v>
      </c>
    </row>
    <row r="4" spans="2:7" x14ac:dyDescent="0.3">
      <c r="B4" s="37" t="s">
        <v>36</v>
      </c>
      <c r="C4" s="37" t="s">
        <v>95</v>
      </c>
      <c r="D4" s="37" t="s">
        <v>37</v>
      </c>
      <c r="E4" s="37" t="s">
        <v>27</v>
      </c>
      <c r="F4" s="37" t="s">
        <v>38</v>
      </c>
      <c r="G4" s="37" t="s">
        <v>210</v>
      </c>
    </row>
    <row r="5" spans="2:7" x14ac:dyDescent="0.3">
      <c r="B5" s="37">
        <v>0</v>
      </c>
      <c r="C5" s="37">
        <v>0</v>
      </c>
      <c r="D5" s="37" t="s">
        <v>100</v>
      </c>
      <c r="E5" s="37" t="s">
        <v>207</v>
      </c>
      <c r="F5" s="38">
        <v>25</v>
      </c>
      <c r="G5" s="37" t="s">
        <v>211</v>
      </c>
    </row>
    <row r="6" spans="2:7" x14ac:dyDescent="0.3">
      <c r="B6" s="37">
        <v>1</v>
      </c>
      <c r="C6" s="37">
        <v>3</v>
      </c>
      <c r="D6" s="37" t="s">
        <v>106</v>
      </c>
      <c r="E6" s="37" t="s">
        <v>207</v>
      </c>
      <c r="F6" s="43">
        <v>35</v>
      </c>
    </row>
    <row r="7" spans="2:7" x14ac:dyDescent="0.3">
      <c r="B7" s="37">
        <v>2</v>
      </c>
      <c r="C7" s="37">
        <v>1</v>
      </c>
      <c r="D7" s="37" t="s">
        <v>105</v>
      </c>
      <c r="E7" s="37" t="s">
        <v>207</v>
      </c>
      <c r="F7" s="43">
        <v>40</v>
      </c>
    </row>
    <row r="8" spans="2:7" x14ac:dyDescent="0.3">
      <c r="B8" s="37">
        <v>3</v>
      </c>
      <c r="C8" s="37">
        <v>9</v>
      </c>
      <c r="D8" s="37" t="s">
        <v>117</v>
      </c>
      <c r="E8" s="37" t="s">
        <v>209</v>
      </c>
      <c r="F8" s="43">
        <v>40</v>
      </c>
    </row>
    <row r="9" spans="2:7" x14ac:dyDescent="0.3">
      <c r="B9" s="37">
        <v>4</v>
      </c>
      <c r="C9" s="37">
        <v>14</v>
      </c>
      <c r="D9" s="37" t="s">
        <v>122</v>
      </c>
      <c r="E9" s="37" t="s">
        <v>209</v>
      </c>
      <c r="F9" s="38">
        <v>20</v>
      </c>
    </row>
    <row r="10" spans="2:7" x14ac:dyDescent="0.3">
      <c r="B10" s="37">
        <v>5</v>
      </c>
      <c r="C10" s="37">
        <v>15</v>
      </c>
      <c r="D10" s="37" t="s">
        <v>123</v>
      </c>
      <c r="E10" s="37" t="s">
        <v>209</v>
      </c>
      <c r="F10" s="38">
        <v>0</v>
      </c>
    </row>
    <row r="11" spans="2:7" x14ac:dyDescent="0.3">
      <c r="B11" s="37">
        <v>6</v>
      </c>
      <c r="C11" s="37">
        <v>19</v>
      </c>
      <c r="D11" s="37" t="s">
        <v>129</v>
      </c>
      <c r="E11" s="37" t="s">
        <v>209</v>
      </c>
      <c r="F11" s="38">
        <v>20</v>
      </c>
    </row>
    <row r="12" spans="2:7" x14ac:dyDescent="0.3">
      <c r="B12" s="37">
        <v>7</v>
      </c>
      <c r="C12" s="37">
        <v>20</v>
      </c>
      <c r="D12" s="37" t="s">
        <v>130</v>
      </c>
      <c r="E12" s="37" t="s">
        <v>209</v>
      </c>
      <c r="F12" s="38">
        <v>0</v>
      </c>
    </row>
    <row r="13" spans="2:7" x14ac:dyDescent="0.3">
      <c r="B13" s="37">
        <v>8</v>
      </c>
      <c r="C13" s="37">
        <v>26</v>
      </c>
      <c r="D13" s="37" t="s">
        <v>208</v>
      </c>
      <c r="E13" s="37" t="s">
        <v>209</v>
      </c>
      <c r="F13" s="38">
        <v>20</v>
      </c>
    </row>
    <row r="14" spans="2:7" x14ac:dyDescent="0.3">
      <c r="B14" s="37">
        <v>9</v>
      </c>
      <c r="C14" s="37">
        <v>27</v>
      </c>
      <c r="D14" s="37" t="s">
        <v>137</v>
      </c>
      <c r="E14" s="37" t="s">
        <v>209</v>
      </c>
      <c r="F14" s="38">
        <v>0</v>
      </c>
    </row>
  </sheetData>
  <conditionalFormatting sqref="F5:F14">
    <cfRule type="cellIs" dxfId="7" priority="1" operator="greaterThan">
      <formula>80</formula>
    </cfRule>
    <cfRule type="cellIs" dxfId="6" priority="2" operator="between">
      <formula>61</formula>
      <formula>80</formula>
    </cfRule>
    <cfRule type="cellIs" dxfId="5" priority="3" operator="between">
      <formula>31</formula>
      <formula>60</formula>
    </cfRule>
    <cfRule type="cellIs" dxfId="4" priority="4" operator="between">
      <formula>11</formula>
      <formula>30</formula>
    </cfRule>
    <cfRule type="cellIs" dxfId="3" priority="5" operator="between">
      <formula>0</formula>
      <formula>10</formula>
    </cfRule>
  </conditionalFormatting>
  <dataValidations count="2">
    <dataValidation type="list" allowBlank="1" showInputMessage="1" showErrorMessage="1" promptTitle="IDLE" sqref="E5:E7" xr:uid="{960C341F-07BE-4A51-9451-7E18723DB20E}">
      <formula1>"ONGOING, DONE, CANCEL"</formula1>
    </dataValidation>
    <dataValidation type="list" allowBlank="1" showInputMessage="1" showErrorMessage="1" promptTitle="IDLE" sqref="E8:E14" xr:uid="{0D5F952A-1BCE-4ACF-888E-B0380966E238}">
      <formula1>"IDLE, ONGOING, DONE, CANCEL"</formula1>
    </dataValidation>
  </dataValidation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7D1A19-D852-449E-8B37-6EA02F68F77B}">
  <sheetPr>
    <tabColor rgb="FFFF9343"/>
  </sheetPr>
  <dimension ref="A1"/>
  <sheetViews>
    <sheetView tabSelected="1" workbookViewId="0"/>
  </sheetViews>
  <sheetFormatPr defaultRowHeight="14.4" x14ac:dyDescent="0.3"/>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CA1A5-38B3-4C48-9114-32DEDA051E3A}">
  <sheetPr>
    <tabColor rgb="FF00CCD6"/>
  </sheetPr>
  <dimension ref="A1"/>
  <sheetViews>
    <sheetView topLeftCell="I1" workbookViewId="0"/>
  </sheetViews>
  <sheetFormatPr defaultRowHeight="14.4" x14ac:dyDescent="0.3"/>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0.A Table of Contents</vt:lpstr>
      <vt:lpstr>1.A Legend</vt:lpstr>
      <vt:lpstr>2.A Abstract List</vt:lpstr>
      <vt:lpstr>2.B OOP Skillset List</vt:lpstr>
      <vt:lpstr>1.B Graph Legend</vt:lpstr>
      <vt:lpstr>3.A OOP DAG concepts</vt:lpstr>
      <vt:lpstr>4.A OOP Backlog</vt:lpstr>
      <vt:lpstr>2.C Leetcode Problem List</vt:lpstr>
      <vt:lpstr>3.B Leetcode DAG Problems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Dimaunahan Isiah Jordan</dc:creator>
  <cp:lastModifiedBy>Dimaunahan Isiah Jordan</cp:lastModifiedBy>
  <dcterms:created xsi:type="dcterms:W3CDTF">2025-09-19T06:57:13Z</dcterms:created>
  <dcterms:modified xsi:type="dcterms:W3CDTF">2025-09-23T14:03:42Z</dcterms:modified>
</cp:coreProperties>
</file>